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ink/ink3.xml" ContentType="application/inkml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ijcl-my.sharepoint.com/personal/fveliz_pij_cl/Documents/Escritorio/"/>
    </mc:Choice>
  </mc:AlternateContent>
  <xr:revisionPtr revIDLastSave="323" documentId="8_{0F198D55-0CF7-4B55-955B-7247A64057F3}" xr6:coauthVersionLast="47" xr6:coauthVersionMax="47" xr10:uidLastSave="{C794B619-BD94-4F9E-88CF-C6F3F7514925}"/>
  <bookViews>
    <workbookView xWindow="-120" yWindow="-120" windowWidth="20730" windowHeight="11040" xr2:uid="{3643E92C-1364-4256-AF61-7814676A17A1}"/>
  </bookViews>
  <sheets>
    <sheet name="IT" sheetId="1" r:id="rId1"/>
    <sheet name="Piezas y Partes" sheetId="5" r:id="rId2"/>
    <sheet name="Servicios" sheetId="6" r:id="rId3"/>
    <sheet name="Clientes" sheetId="7" r:id="rId4"/>
    <sheet name="Lista Servicio" sheetId="2" r:id="rId5"/>
    <sheet name="Si-No" sheetId="8" r:id="rId6"/>
  </sheets>
  <definedNames>
    <definedName name="_xlnm._FilterDatabase" localSheetId="3" hidden="1">Clientes!$A$1:$H$760</definedName>
    <definedName name="_xlnm._FilterDatabase" localSheetId="1" hidden="1">'Piezas y Partes'!$A$1:$B$1</definedName>
    <definedName name="_xlnm._FilterDatabase" localSheetId="2" hidden="1">Servicios!$A$1:$B$1</definedName>
    <definedName name="_xlnm.Print_Area" localSheetId="0">IT!$O$1:$S$66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1" l="1"/>
  <c r="M18" i="1"/>
  <c r="L18" i="1"/>
  <c r="K18" i="1"/>
  <c r="J18" i="1"/>
  <c r="I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18" i="1"/>
  <c r="G18" i="1"/>
  <c r="F18" i="1"/>
  <c r="E19" i="1"/>
  <c r="E18" i="1"/>
  <c r="D20" i="1"/>
  <c r="D21" i="1"/>
  <c r="D22" i="1"/>
  <c r="D23" i="1"/>
  <c r="D24" i="1"/>
  <c r="D18" i="1"/>
  <c r="D19" i="1"/>
  <c r="C24" i="1"/>
  <c r="C23" i="1"/>
  <c r="C22" i="1"/>
  <c r="C21" i="1"/>
  <c r="C20" i="1"/>
  <c r="C19" i="1"/>
  <c r="C18" i="1"/>
  <c r="B20" i="1"/>
  <c r="B21" i="1"/>
  <c r="B22" i="1"/>
  <c r="B23" i="1"/>
  <c r="B24" i="1"/>
  <c r="B19" i="1"/>
  <c r="B18" i="1"/>
  <c r="D34" i="1"/>
  <c r="F25" i="1"/>
  <c r="E21" i="1"/>
  <c r="N25" i="1"/>
  <c r="C25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18" i="1"/>
  <c r="G21" i="1"/>
  <c r="I21" i="1"/>
  <c r="J21" i="1"/>
  <c r="K21" i="1"/>
  <c r="L21" i="1"/>
  <c r="M21" i="1"/>
  <c r="G22" i="1"/>
  <c r="I22" i="1"/>
  <c r="J22" i="1"/>
  <c r="K22" i="1"/>
  <c r="L22" i="1"/>
  <c r="M22" i="1"/>
  <c r="G23" i="1"/>
  <c r="I23" i="1"/>
  <c r="J23" i="1"/>
  <c r="K23" i="1"/>
  <c r="L23" i="1"/>
  <c r="M23" i="1"/>
  <c r="G24" i="1"/>
  <c r="I24" i="1"/>
  <c r="J24" i="1"/>
  <c r="K24" i="1"/>
  <c r="L24" i="1"/>
  <c r="M24" i="1"/>
  <c r="G25" i="1"/>
  <c r="I25" i="1"/>
  <c r="J25" i="1"/>
  <c r="K25" i="1"/>
  <c r="L25" i="1"/>
  <c r="M25" i="1"/>
  <c r="G26" i="1"/>
  <c r="I26" i="1"/>
  <c r="J26" i="1"/>
  <c r="K26" i="1"/>
  <c r="L26" i="1"/>
  <c r="M26" i="1"/>
  <c r="G27" i="1"/>
  <c r="I27" i="1"/>
  <c r="J27" i="1"/>
  <c r="K27" i="1"/>
  <c r="L27" i="1"/>
  <c r="M27" i="1"/>
  <c r="G28" i="1"/>
  <c r="I28" i="1"/>
  <c r="J28" i="1"/>
  <c r="K28" i="1"/>
  <c r="L28" i="1"/>
  <c r="M28" i="1"/>
  <c r="G29" i="1"/>
  <c r="I29" i="1"/>
  <c r="J29" i="1"/>
  <c r="K29" i="1"/>
  <c r="L29" i="1"/>
  <c r="M29" i="1"/>
  <c r="G30" i="1"/>
  <c r="I30" i="1"/>
  <c r="J30" i="1"/>
  <c r="K30" i="1"/>
  <c r="L30" i="1"/>
  <c r="M30" i="1"/>
  <c r="G31" i="1"/>
  <c r="I31" i="1"/>
  <c r="J31" i="1"/>
  <c r="K31" i="1"/>
  <c r="L31" i="1"/>
  <c r="M31" i="1"/>
  <c r="G32" i="1"/>
  <c r="I32" i="1"/>
  <c r="J32" i="1"/>
  <c r="K32" i="1"/>
  <c r="L32" i="1"/>
  <c r="M32" i="1"/>
  <c r="G33" i="1"/>
  <c r="I33" i="1"/>
  <c r="J33" i="1"/>
  <c r="K33" i="1"/>
  <c r="L33" i="1"/>
  <c r="M33" i="1"/>
  <c r="G34" i="1"/>
  <c r="I34" i="1"/>
  <c r="J34" i="1"/>
  <c r="K34" i="1"/>
  <c r="L34" i="1"/>
  <c r="M34" i="1"/>
  <c r="G19" i="1"/>
  <c r="I19" i="1"/>
  <c r="J19" i="1"/>
  <c r="K19" i="1"/>
  <c r="L19" i="1"/>
  <c r="M19" i="1"/>
  <c r="G20" i="1"/>
  <c r="I20" i="1"/>
  <c r="J20" i="1"/>
  <c r="K20" i="1"/>
  <c r="L20" i="1"/>
  <c r="M20" i="1"/>
  <c r="N24" i="1"/>
  <c r="N23" i="1"/>
  <c r="N22" i="1"/>
  <c r="N29" i="1"/>
  <c r="N28" i="1"/>
  <c r="N27" i="1"/>
  <c r="N19" i="1"/>
  <c r="N32" i="1"/>
  <c r="N31" i="1"/>
  <c r="N30" i="1"/>
  <c r="N21" i="1"/>
  <c r="N34" i="1"/>
  <c r="N26" i="1"/>
  <c r="N20" i="1"/>
  <c r="N33" i="1"/>
  <c r="E23" i="1"/>
  <c r="E27" i="1"/>
  <c r="D29" i="1"/>
  <c r="D28" i="1"/>
  <c r="C31" i="1"/>
  <c r="E20" i="1"/>
  <c r="E31" i="1"/>
  <c r="D32" i="1"/>
  <c r="C32" i="1"/>
  <c r="E26" i="1"/>
  <c r="E34" i="1"/>
  <c r="C34" i="1"/>
  <c r="E28" i="1"/>
  <c r="D25" i="1"/>
  <c r="D27" i="1"/>
  <c r="C27" i="1"/>
  <c r="E32" i="1"/>
  <c r="E33" i="1"/>
  <c r="D30" i="1"/>
  <c r="C28" i="1"/>
  <c r="C26" i="1"/>
  <c r="E25" i="1"/>
  <c r="E30" i="1"/>
  <c r="D33" i="1"/>
  <c r="C29" i="1"/>
  <c r="E22" i="1"/>
  <c r="E24" i="1"/>
  <c r="D31" i="1"/>
  <c r="C30" i="1"/>
  <c r="E29" i="1"/>
  <c r="D26" i="1"/>
  <c r="C33" i="1"/>
  <c r="B27" i="1" l="1"/>
  <c r="B26" i="1"/>
  <c r="B25" i="1"/>
  <c r="B30" i="1"/>
  <c r="B33" i="1"/>
  <c r="B29" i="1"/>
  <c r="B34" i="1"/>
  <c r="B32" i="1"/>
  <c r="B31" i="1"/>
  <c r="B28" i="1"/>
  <c r="F30" i="1"/>
  <c r="F29" i="1"/>
  <c r="F32" i="1"/>
  <c r="F27" i="1"/>
  <c r="F28" i="1"/>
  <c r="F21" i="1"/>
  <c r="F26" i="1"/>
  <c r="F24" i="1"/>
  <c r="F23" i="1"/>
  <c r="F31" i="1"/>
  <c r="F19" i="1"/>
  <c r="F22" i="1"/>
  <c r="F20" i="1"/>
  <c r="F33" i="1"/>
  <c r="F3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Veliz</author>
  </authors>
  <commentList>
    <comment ref="A337" authorId="0" shapeId="0" xr:uid="{5F85277A-EFDA-465F-AF46-C3721955E84A}">
      <text>
        <r>
          <rPr>
            <b/>
            <sz val="9"/>
            <color indexed="81"/>
            <rFont val="Tahoma"/>
            <family val="2"/>
          </rPr>
          <t>Fabian Veliz:</t>
        </r>
        <r>
          <rPr>
            <sz val="9"/>
            <color indexed="81"/>
            <rFont val="Tahoma"/>
            <family val="2"/>
          </rPr>
          <t xml:space="preserve">
Cambio de caja codigo antiguo H14002 - PIJ0402</t>
        </r>
      </text>
    </comment>
    <comment ref="A338" authorId="0" shapeId="0" xr:uid="{660F201A-B21F-4C3F-A0B4-A30B4EB363FB}">
      <text>
        <r>
          <rPr>
            <b/>
            <sz val="9"/>
            <color indexed="81"/>
            <rFont val="Tahoma"/>
            <family val="2"/>
          </rPr>
          <t>Fabian Veliz:</t>
        </r>
        <r>
          <rPr>
            <sz val="9"/>
            <color indexed="81"/>
            <rFont val="Tahoma"/>
            <family val="2"/>
          </rPr>
          <t xml:space="preserve">
Cambio de caja codigo antiguo H14003 - PIJ0404</t>
        </r>
      </text>
    </comment>
    <comment ref="A339" authorId="0" shapeId="0" xr:uid="{1139DAE1-133F-4B62-A9FF-EAB0747067B0}">
      <text>
        <r>
          <rPr>
            <b/>
            <sz val="9"/>
            <color indexed="81"/>
            <rFont val="Tahoma"/>
            <family val="2"/>
          </rPr>
          <t>Fabian Veliz:</t>
        </r>
        <r>
          <rPr>
            <sz val="9"/>
            <color indexed="81"/>
            <rFont val="Tahoma"/>
            <family val="2"/>
          </rPr>
          <t xml:space="preserve">
Cambio de caja codigo antiguo H14004 - PIJ0403</t>
        </r>
      </text>
    </comment>
    <comment ref="G553" authorId="0" shapeId="0" xr:uid="{AC0A91FF-8604-4080-9B58-7030A2B4BCC3}">
      <text>
        <r>
          <rPr>
            <b/>
            <sz val="9"/>
            <color indexed="81"/>
            <rFont val="Tahoma"/>
            <family val="2"/>
          </rPr>
          <t>Fabian Veliz:</t>
        </r>
        <r>
          <rPr>
            <sz val="9"/>
            <color indexed="81"/>
            <rFont val="Tahoma"/>
            <family val="2"/>
          </rPr>
          <t xml:space="preserve">
24/04/2024 Equipo actualizado de H50 a H100 </t>
        </r>
      </text>
    </comment>
  </commentList>
</comments>
</file>

<file path=xl/sharedStrings.xml><?xml version="1.0" encoding="utf-8"?>
<sst xmlns="http://schemas.openxmlformats.org/spreadsheetml/2006/main" count="5822" uniqueCount="2618">
  <si>
    <t xml:space="preserve">N° Cotización </t>
  </si>
  <si>
    <t xml:space="preserve">N° Factura </t>
  </si>
  <si>
    <t>Postventa</t>
  </si>
  <si>
    <t>Cliente</t>
  </si>
  <si>
    <t>Ubicación Física</t>
  </si>
  <si>
    <t>RUT</t>
  </si>
  <si>
    <t>Modelo Equipo</t>
  </si>
  <si>
    <t>Código</t>
  </si>
  <si>
    <t>Cantidad</t>
  </si>
  <si>
    <t>Tipo de Servicio</t>
  </si>
  <si>
    <t>RUT Cliente</t>
  </si>
  <si>
    <t>Garantía</t>
  </si>
  <si>
    <r>
      <t>N</t>
    </r>
    <r>
      <rPr>
        <b/>
        <vertAlign val="superscript"/>
        <sz val="12"/>
        <color rgb="FF000000"/>
        <rFont val="Calibri"/>
        <family val="2"/>
        <scheme val="minor"/>
      </rPr>
      <t>o</t>
    </r>
    <r>
      <rPr>
        <b/>
        <sz val="12"/>
        <color rgb="FF000000"/>
        <rFont val="Calibri"/>
        <family val="2"/>
        <scheme val="minor"/>
      </rPr>
      <t xml:space="preserve"> Serie Equipo</t>
    </r>
  </si>
  <si>
    <t>Rubro</t>
  </si>
  <si>
    <t>Modelo</t>
  </si>
  <si>
    <t>Año</t>
  </si>
  <si>
    <t>No</t>
  </si>
  <si>
    <t xml:space="preserve">Agrícola Don Alfonso Ltda.     </t>
  </si>
  <si>
    <t>Jaime Prohens Espinoza</t>
  </si>
  <si>
    <t>000008</t>
  </si>
  <si>
    <t>Agrícola Pabellón SPA</t>
  </si>
  <si>
    <t>Agrícola Santa Mónica Ltda.</t>
  </si>
  <si>
    <t>Agrofruta Ltda.</t>
  </si>
  <si>
    <t>000003</t>
  </si>
  <si>
    <t>H100</t>
  </si>
  <si>
    <t>H14 Doble</t>
  </si>
  <si>
    <t>Diamante de San José SA</t>
  </si>
  <si>
    <t>Jaime Agusto Pesenti Recabarren</t>
  </si>
  <si>
    <t>Sociedad Agrícola Uni Agri Copiapó Ltda.</t>
  </si>
  <si>
    <t>Hacienda Chada SA</t>
  </si>
  <si>
    <t>Sociedad Agrícola Copequen Ltda.</t>
  </si>
  <si>
    <t>Sociedad Agroindustrial ISS (Italo)</t>
  </si>
  <si>
    <t>Soc. Agricola El Arroyo y Ltda</t>
  </si>
  <si>
    <t>Soc. Agrícola Forestal Ganadera y Comercial Agro Palqui Ltda.</t>
  </si>
  <si>
    <t>Viña Concha y Toro SA</t>
  </si>
  <si>
    <t>Central Frutícola San Clemente SA.</t>
  </si>
  <si>
    <t>Fruticola Angol (Chisa)</t>
  </si>
  <si>
    <t>H14</t>
  </si>
  <si>
    <t>Frio Master Ltda.</t>
  </si>
  <si>
    <t>Agrícola Alcalde Ltda.</t>
  </si>
  <si>
    <t>Agricola El Resguardo S.A</t>
  </si>
  <si>
    <t>Servicios Agrícolas Lepas Ltda</t>
  </si>
  <si>
    <t>Córpora Agrícola SA.</t>
  </si>
  <si>
    <t xml:space="preserve">Comercial Greenvic S.A        </t>
  </si>
  <si>
    <t>Inversiones Aillin Ltda.</t>
  </si>
  <si>
    <t>Gestion de Exportaciones Fruticolas SA (Gesex Peru)</t>
  </si>
  <si>
    <t>Lafitte Chile y Cía Ltda.</t>
  </si>
  <si>
    <t>Agricola Agua Viva</t>
  </si>
  <si>
    <t>Supermercado Montserrat SAC</t>
  </si>
  <si>
    <t>Universidad de Chile</t>
  </si>
  <si>
    <t>Agrícola Uni Agri Copiapó SPA</t>
  </si>
  <si>
    <t>Agrícola Millahue Ltda.</t>
  </si>
  <si>
    <t>Exportadora Disa S.A.</t>
  </si>
  <si>
    <t>Viña Cousiño Macul SA</t>
  </si>
  <si>
    <t>Viña San Pedro Tarapacá SA</t>
  </si>
  <si>
    <t>Viveros Sunnyridge Ltda.</t>
  </si>
  <si>
    <t>Agrícola Altamira Ltda.</t>
  </si>
  <si>
    <t>Agrícola Amar Ltda.</t>
  </si>
  <si>
    <t>Agricola Don  Ernesto  Limitada</t>
  </si>
  <si>
    <t>Fruticola y Ganadera Santa Marta</t>
  </si>
  <si>
    <t>PIJ0107</t>
  </si>
  <si>
    <t>Agrícola Loma Linda Ltda.</t>
  </si>
  <si>
    <t>A G Servicios y Compañía Ltda.</t>
  </si>
  <si>
    <t>Samuel Budinich SPA</t>
  </si>
  <si>
    <t>PIJ0129</t>
  </si>
  <si>
    <t>Agricola Yamai Ltda</t>
  </si>
  <si>
    <t>H14005</t>
  </si>
  <si>
    <t>Agricola Los Alpes Limitada</t>
  </si>
  <si>
    <t>Agrícola Montolín SA</t>
  </si>
  <si>
    <t xml:space="preserve">Agricola Santa Ester Ltda                         </t>
  </si>
  <si>
    <t>Collantes Aravena Benigno y Otros</t>
  </si>
  <si>
    <t>Distribuidora y Servicios Petroagro Ltda.</t>
  </si>
  <si>
    <t>Green Pack Services SPA</t>
  </si>
  <si>
    <t>Servicios de Exportaciones Frutícolas Exser</t>
  </si>
  <si>
    <t>000018</t>
  </si>
  <si>
    <t>Agricola Villablino (Agricola San Pedro)</t>
  </si>
  <si>
    <t>Soc. Agricola San Ramon Ltda.</t>
  </si>
  <si>
    <t>Agrícola el Toqui Ltda.</t>
  </si>
  <si>
    <t>Sociedad Agricola El Molino Ltda</t>
  </si>
  <si>
    <t>Electroagro Ltda</t>
  </si>
  <si>
    <t>Vinos y Turismo Ltda (Viña Matetic)</t>
  </si>
  <si>
    <t>Viveros Hijuelas SA</t>
  </si>
  <si>
    <t>Servicios GeoService Ltda. (Geofrut)</t>
  </si>
  <si>
    <t>Agricola Huertos Santa Teresa Ltda.</t>
  </si>
  <si>
    <t>Agricola Los Culenes SPA</t>
  </si>
  <si>
    <t>Agrícola La Cabaña Dos Ltda.</t>
  </si>
  <si>
    <t>Agrícola Lo Beltran SA</t>
  </si>
  <si>
    <t>Sociedad Agrícola La Hornilla SPA</t>
  </si>
  <si>
    <t>Agrícola Uni Agri Copiapó SPA (Univiveros)</t>
  </si>
  <si>
    <t>Agricola Victoria SA</t>
  </si>
  <si>
    <t>Viña Lapostolle SA</t>
  </si>
  <si>
    <t>Agrícola La Florida SA</t>
  </si>
  <si>
    <t>Agricola El Milagro Ltda</t>
  </si>
  <si>
    <t>Agrosercom  Packing  S.A</t>
  </si>
  <si>
    <t>Frutango SA</t>
  </si>
  <si>
    <t>Agrocomercial Quillota S.A. (Propal)</t>
  </si>
  <si>
    <t>Viña Apaltagua Ltda.</t>
  </si>
  <si>
    <t>Agricola las Vides (Fundo Sta Eugenia Arturo  Toretti)</t>
  </si>
  <si>
    <t>Agricola y Comercial Cruz del Sur Ltda. (Maria Jose Errazuriz)</t>
  </si>
  <si>
    <t>Comercial JGR Corchos América Del Sur LTDA</t>
  </si>
  <si>
    <t>Comercializadora Excom (Los Boldos)</t>
  </si>
  <si>
    <t>Prize Proservice S.A. (Prize Requinoa)</t>
  </si>
  <si>
    <t>H240</t>
  </si>
  <si>
    <t>Fundo El Delirio S.A.</t>
  </si>
  <si>
    <t>Delipack SA</t>
  </si>
  <si>
    <t>H14D001</t>
  </si>
  <si>
    <t xml:space="preserve">Packing y Servicios Rucaray S.A. </t>
  </si>
  <si>
    <t>PIJ0126</t>
  </si>
  <si>
    <t>Agricola Ditzler Ltda.</t>
  </si>
  <si>
    <t>Sociedad Agrícola Los Carrizos Ltda.</t>
  </si>
  <si>
    <t>Forestal Mininco</t>
  </si>
  <si>
    <t>H100D01</t>
  </si>
  <si>
    <t>Proex SPA</t>
  </si>
  <si>
    <t>Sociedad Comercial Agricola JG (La Diana)</t>
  </si>
  <si>
    <t>Agricola Mallacun</t>
  </si>
  <si>
    <t>Agricola Lugano</t>
  </si>
  <si>
    <t>Viña Caliterra SA</t>
  </si>
  <si>
    <t>Viña Estampa S.A</t>
  </si>
  <si>
    <t>Viña y Cava Valle Secreto SA</t>
  </si>
  <si>
    <t>Agricola Garces Ltda.</t>
  </si>
  <si>
    <t>Bestplant</t>
  </si>
  <si>
    <t>Agrícola Frutícola Maranello Ltda</t>
  </si>
  <si>
    <t>H14021</t>
  </si>
  <si>
    <t>Viña VIK Ltda.</t>
  </si>
  <si>
    <t>Agricola MyC Ltda</t>
  </si>
  <si>
    <t>Felipe Espinosa Urzua</t>
  </si>
  <si>
    <t>Espinosa y Urzúa Ltda. (Felipe Espinosa)</t>
  </si>
  <si>
    <t>H14010</t>
  </si>
  <si>
    <t>H14020</t>
  </si>
  <si>
    <t>Agrícola Sur Ltda.</t>
  </si>
  <si>
    <t>Agrofruticola Las Cañas Ltda.</t>
  </si>
  <si>
    <t>Agrícola y Viveros Comalle SA</t>
  </si>
  <si>
    <t>Agromillora Sur SA</t>
  </si>
  <si>
    <t>Aurora Australis SA</t>
  </si>
  <si>
    <t>Carsol Servicios LTDA.</t>
  </si>
  <si>
    <t>Frutizano</t>
  </si>
  <si>
    <t>H50 Doble</t>
  </si>
  <si>
    <t>Frual Quilvo</t>
  </si>
  <si>
    <t>Premium Packing Services (T Y T Export)</t>
  </si>
  <si>
    <t>AGRICOLA Y FRUTICOLA LINARES DE PERALES LTDA (Pedro Letelier)</t>
  </si>
  <si>
    <t>Frutícola San Alberto Ltda.</t>
  </si>
  <si>
    <t>Salvador Ivan Bustos Valdeavellano</t>
  </si>
  <si>
    <t>Andinexia</t>
  </si>
  <si>
    <t>Viña Cono Sur SA</t>
  </si>
  <si>
    <t>Agricola Kaiken</t>
  </si>
  <si>
    <t>Agroinvest (Prize Sagrada Familia)</t>
  </si>
  <si>
    <t>Agricola Santa Elvira</t>
  </si>
  <si>
    <t>Viu Manent y Cía Ltda.</t>
  </si>
  <si>
    <t>VitenLab</t>
  </si>
  <si>
    <t>Viveros El Tambo Ltda.</t>
  </si>
  <si>
    <t>Frutas y Hortalizas del Sur SA</t>
  </si>
  <si>
    <t>Compañía Chilena de Fosforos SA</t>
  </si>
  <si>
    <t>H14D002</t>
  </si>
  <si>
    <t>Frigorifico Ñuble Organico SPA</t>
  </si>
  <si>
    <t>Proservice Bio Bio SPA (Prize Chillan)</t>
  </si>
  <si>
    <t>H14011</t>
  </si>
  <si>
    <t>H14012</t>
  </si>
  <si>
    <t>H14013</t>
  </si>
  <si>
    <t>Agricola El Toro</t>
  </si>
  <si>
    <t>Servicios Agroindustriales Subsole SA</t>
  </si>
  <si>
    <t>San Clemente</t>
  </si>
  <si>
    <t>Vivero Agromultiflorales</t>
  </si>
  <si>
    <t>Viveros Angostura</t>
  </si>
  <si>
    <t>Prize Proservice S.A. (Negrete-Osorno)</t>
  </si>
  <si>
    <t>Agricola el Calabozo (Chamonate)</t>
  </si>
  <si>
    <t>Tomas Andreu Agricola San Jose</t>
  </si>
  <si>
    <t>Viveros Pacrialgo (Comfrut)</t>
  </si>
  <si>
    <t>Agricola y Comercial Lomas del Baluarte</t>
  </si>
  <si>
    <t>Agricola Santa Pilar</t>
  </si>
  <si>
    <t>Fruticola Andesterra</t>
  </si>
  <si>
    <t>Agricola Llahuen</t>
  </si>
  <si>
    <t>Ignacio Cardoen</t>
  </si>
  <si>
    <t>PIJ0041</t>
  </si>
  <si>
    <t>Fruticola Saba</t>
  </si>
  <si>
    <t>Agricola la Tuna</t>
  </si>
  <si>
    <t>Exportadora Prize (Los Culenes Cereza)</t>
  </si>
  <si>
    <t>Frigorifico La Hacienda</t>
  </si>
  <si>
    <t>Agricola Ana Maria</t>
  </si>
  <si>
    <t>PIJ0125</t>
  </si>
  <si>
    <t>Agricola Tannenberg</t>
  </si>
  <si>
    <t>PIJ0132</t>
  </si>
  <si>
    <t>Santa Ana del Rosario (Bonaterra)</t>
  </si>
  <si>
    <t>H50</t>
  </si>
  <si>
    <t>Agricola La Cebra</t>
  </si>
  <si>
    <t>PIJ0081</t>
  </si>
  <si>
    <t>Terrafrut</t>
  </si>
  <si>
    <t>PIJ0114</t>
  </si>
  <si>
    <t>PIJ0115</t>
  </si>
  <si>
    <t>Agricola El Rincon</t>
  </si>
  <si>
    <t>PIJ0141</t>
  </si>
  <si>
    <t>Viña Santa Cruz</t>
  </si>
  <si>
    <t>PIJ0079</t>
  </si>
  <si>
    <t>PIJ0080</t>
  </si>
  <si>
    <t>PIJ0142</t>
  </si>
  <si>
    <t>Finest Fruit</t>
  </si>
  <si>
    <t>PIJ0133</t>
  </si>
  <si>
    <t>PIJ0130</t>
  </si>
  <si>
    <t>Agrícola Casas del Bosque</t>
  </si>
  <si>
    <t>PIJ0038</t>
  </si>
  <si>
    <t>PIJ0022</t>
  </si>
  <si>
    <t>PIJ0037</t>
  </si>
  <si>
    <t>Aviga Plus DT</t>
  </si>
  <si>
    <t>Inversiones San Francisco</t>
  </si>
  <si>
    <t>PIJ0076</t>
  </si>
  <si>
    <t>PIJ0077</t>
  </si>
  <si>
    <t>Agricola Santa Graciela</t>
  </si>
  <si>
    <t>PIJ0127</t>
  </si>
  <si>
    <t>Agricola Doña Consuelo</t>
  </si>
  <si>
    <t>PIJ0110</t>
  </si>
  <si>
    <t>AMS Family</t>
  </si>
  <si>
    <t>PIJ0083</t>
  </si>
  <si>
    <t>PIJ0116</t>
  </si>
  <si>
    <t>PIJ0072</t>
  </si>
  <si>
    <t>PIJ0073</t>
  </si>
  <si>
    <t>Agricola e Inversiones Terraman</t>
  </si>
  <si>
    <t>PIJ0111</t>
  </si>
  <si>
    <t>Agricola Camilo Correa</t>
  </si>
  <si>
    <t>PIJ0131</t>
  </si>
  <si>
    <t>PIJ0074</t>
  </si>
  <si>
    <t>PIJ0153</t>
  </si>
  <si>
    <t>PIJ0140</t>
  </si>
  <si>
    <t>PIJ0128</t>
  </si>
  <si>
    <t>Sociedad Agricola Vivero Pocochay Limitada</t>
  </si>
  <si>
    <t>PIJ0156</t>
  </si>
  <si>
    <t>PIJ0160</t>
  </si>
  <si>
    <t>PIJ0155</t>
  </si>
  <si>
    <t>PIJ0139</t>
  </si>
  <si>
    <t>PIJ0154</t>
  </si>
  <si>
    <t>Agricola Fundo La Providencia</t>
  </si>
  <si>
    <t>PIJ0161</t>
  </si>
  <si>
    <t>Sociedad Agricola La Hornilla SPA</t>
  </si>
  <si>
    <t>PIJ0138</t>
  </si>
  <si>
    <t>Agricola La Brota</t>
  </si>
  <si>
    <t>PIJ0143</t>
  </si>
  <si>
    <t>PIJ0145</t>
  </si>
  <si>
    <t>PIJ0144</t>
  </si>
  <si>
    <t>PIJ0158</t>
  </si>
  <si>
    <t>PIJ0157</t>
  </si>
  <si>
    <t>PIJ0147</t>
  </si>
  <si>
    <t>Agricola Santa Camila Limitada</t>
  </si>
  <si>
    <t>PIJ0159</t>
  </si>
  <si>
    <t>Agricola San Osvaldo Limitada</t>
  </si>
  <si>
    <t>PIJ0168</t>
  </si>
  <si>
    <t>PIJ0172</t>
  </si>
  <si>
    <t>Aviga</t>
  </si>
  <si>
    <t>Comafri SA</t>
  </si>
  <si>
    <t>PIJ0136</t>
  </si>
  <si>
    <t>Sociedad Agricola Santa Ana del Rosario</t>
  </si>
  <si>
    <t>PIJ0173</t>
  </si>
  <si>
    <t>PIJ0182</t>
  </si>
  <si>
    <t>PIJ0181</t>
  </si>
  <si>
    <t>PIJ0201</t>
  </si>
  <si>
    <t>PIJ0189</t>
  </si>
  <si>
    <t>Sociedad Agrocomercial Floraveliz Limitada</t>
  </si>
  <si>
    <t>PIJ0228</t>
  </si>
  <si>
    <t>Comercial El Encino Ltda</t>
  </si>
  <si>
    <t>PIJ0208</t>
  </si>
  <si>
    <t>Agricola La Capilla SPA</t>
  </si>
  <si>
    <t>PIJ0176</t>
  </si>
  <si>
    <t>PIJ0209</t>
  </si>
  <si>
    <t>H150</t>
  </si>
  <si>
    <t>PIJ0233</t>
  </si>
  <si>
    <t>Defrusa</t>
  </si>
  <si>
    <t>PIJ0221</t>
  </si>
  <si>
    <t>PIJ0235</t>
  </si>
  <si>
    <t>PIJ0210</t>
  </si>
  <si>
    <t>Agricola Las Dos Amalias</t>
  </si>
  <si>
    <t>PIJ0213</t>
  </si>
  <si>
    <t>Agricola La Sorpresa Spa</t>
  </si>
  <si>
    <t>PIJ0202</t>
  </si>
  <si>
    <t>PIJ0211</t>
  </si>
  <si>
    <t>PIJ0249</t>
  </si>
  <si>
    <t>PIJ0220</t>
  </si>
  <si>
    <t>Exportadora Fruttita SPA</t>
  </si>
  <si>
    <t>PIJ0234</t>
  </si>
  <si>
    <t>PIJ0240</t>
  </si>
  <si>
    <t>PIJ0219</t>
  </si>
  <si>
    <t>Agricola Las Hornillas SPA</t>
  </si>
  <si>
    <t>PIJ0230</t>
  </si>
  <si>
    <t>A G Servicios SPA (Curillinque)</t>
  </si>
  <si>
    <t>PIJ0205</t>
  </si>
  <si>
    <t>PIJ0231</t>
  </si>
  <si>
    <t>PIJ0177</t>
  </si>
  <si>
    <t>PIJ0152</t>
  </si>
  <si>
    <t>A G Servicios SPA (Agricola Fundo Santa Eugenia)</t>
  </si>
  <si>
    <t>PIJ0204</t>
  </si>
  <si>
    <t>PIJ0171</t>
  </si>
  <si>
    <t>PIJ0178</t>
  </si>
  <si>
    <t>PIJ0179</t>
  </si>
  <si>
    <t>PIJ0216</t>
  </si>
  <si>
    <t>PIJ0223</t>
  </si>
  <si>
    <t>Empresas Altamira Limitada</t>
  </si>
  <si>
    <t>PIJ0264</t>
  </si>
  <si>
    <t>Collipulli Red Soil SA</t>
  </si>
  <si>
    <t>PIJ0225</t>
  </si>
  <si>
    <t>PIJ0243</t>
  </si>
  <si>
    <t>PIJ0237</t>
  </si>
  <si>
    <t>Sociedad Agricola Los Tres Limitada</t>
  </si>
  <si>
    <t>PIJ0229</t>
  </si>
  <si>
    <t>PIJ0108</t>
  </si>
  <si>
    <t>PIJ0117</t>
  </si>
  <si>
    <t>PIJ0193</t>
  </si>
  <si>
    <t>PIJ0227</t>
  </si>
  <si>
    <t>PIJ0272</t>
  </si>
  <si>
    <t>PIJ0271</t>
  </si>
  <si>
    <t>PIJ0218</t>
  </si>
  <si>
    <t>PIJ0250</t>
  </si>
  <si>
    <t>Agricola Maquehua SA</t>
  </si>
  <si>
    <t>PIJ0270</t>
  </si>
  <si>
    <t>PIJ0212</t>
  </si>
  <si>
    <t>PIJ0174</t>
  </si>
  <si>
    <t>Frutos La Aguada S.A.</t>
  </si>
  <si>
    <t>PIJ0206</t>
  </si>
  <si>
    <t>PIJ0267</t>
  </si>
  <si>
    <t>PIJ0268</t>
  </si>
  <si>
    <t>Agricola Retiro SPA (Jacques)</t>
  </si>
  <si>
    <t>PIJ0203</t>
  </si>
  <si>
    <t>PIJ0232</t>
  </si>
  <si>
    <t>Roberto Montalva</t>
  </si>
  <si>
    <t>PIJ0226</t>
  </si>
  <si>
    <t>76152200-0</t>
  </si>
  <si>
    <t>76564190-K</t>
  </si>
  <si>
    <t>76410977-5</t>
  </si>
  <si>
    <t>76128150-K</t>
  </si>
  <si>
    <t>76033092-2</t>
  </si>
  <si>
    <t>5388068-1</t>
  </si>
  <si>
    <t>86882500-6</t>
  </si>
  <si>
    <t>76104781-7</t>
  </si>
  <si>
    <t>79697820-1</t>
  </si>
  <si>
    <t>78531360-7</t>
  </si>
  <si>
    <t>77618380-6</t>
  </si>
  <si>
    <t>76864300-8</t>
  </si>
  <si>
    <t>89470200-1</t>
  </si>
  <si>
    <t>14115069-3</t>
  </si>
  <si>
    <t>79602650-2</t>
  </si>
  <si>
    <t>79582870-2</t>
  </si>
  <si>
    <t>76705090-9</t>
  </si>
  <si>
    <t>76658410-1</t>
  </si>
  <si>
    <t>96819020-2</t>
  </si>
  <si>
    <t>96720590-7</t>
  </si>
  <si>
    <t>96572560-1</t>
  </si>
  <si>
    <t>79990310-5</t>
  </si>
  <si>
    <t>78101430-3</t>
  </si>
  <si>
    <t>79602640-5</t>
  </si>
  <si>
    <t>78395470-2</t>
  </si>
  <si>
    <t>78029950-9</t>
  </si>
  <si>
    <t>88645900-9</t>
  </si>
  <si>
    <t>77662330-K</t>
  </si>
  <si>
    <t>79564420-2</t>
  </si>
  <si>
    <t>78657570-2</t>
  </si>
  <si>
    <t>90227000-0</t>
  </si>
  <si>
    <t>76031594-K</t>
  </si>
  <si>
    <t>99593430-2</t>
  </si>
  <si>
    <t>76141264-7</t>
  </si>
  <si>
    <t>76415664-1</t>
  </si>
  <si>
    <t>77697540-0</t>
  </si>
  <si>
    <t>76326831-4</t>
  </si>
  <si>
    <t>85543100-9</t>
  </si>
  <si>
    <t>99547600-2</t>
  </si>
  <si>
    <t>77151760-9</t>
  </si>
  <si>
    <t>76209116-K</t>
  </si>
  <si>
    <t>76296848-7</t>
  </si>
  <si>
    <t>96613750-9</t>
  </si>
  <si>
    <t>78335990-1</t>
  </si>
  <si>
    <t>77585230-5</t>
  </si>
  <si>
    <t>90950000-1</t>
  </si>
  <si>
    <t>77725510-K</t>
  </si>
  <si>
    <t>96867620-2</t>
  </si>
  <si>
    <t>77633070-1</t>
  </si>
  <si>
    <t>77840720-5</t>
  </si>
  <si>
    <t>76432362-2</t>
  </si>
  <si>
    <t>79787460-4</t>
  </si>
  <si>
    <t>93307000-K</t>
  </si>
  <si>
    <t>60910000-1</t>
  </si>
  <si>
    <t>89258800-7</t>
  </si>
  <si>
    <t>78415820-9</t>
  </si>
  <si>
    <t>79811120-5</t>
  </si>
  <si>
    <t>76439030-K</t>
  </si>
  <si>
    <t>77209070-6</t>
  </si>
  <si>
    <t>91041000-8</t>
  </si>
  <si>
    <t>76692640-1</t>
  </si>
  <si>
    <t>79652350-6</t>
  </si>
  <si>
    <t>86485600-4</t>
  </si>
  <si>
    <t>78768020-8</t>
  </si>
  <si>
    <t>79535880-3</t>
  </si>
  <si>
    <t>76678820-3</t>
  </si>
  <si>
    <t>77995010-7</t>
  </si>
  <si>
    <t>76887887-3</t>
  </si>
  <si>
    <t>76752827-2</t>
  </si>
  <si>
    <t>77149380-7</t>
  </si>
  <si>
    <t>88391000-1</t>
  </si>
  <si>
    <t>96936290-2</t>
  </si>
  <si>
    <t>76678860-2</t>
  </si>
  <si>
    <t>50588240-7</t>
  </si>
  <si>
    <t>77341510-2</t>
  </si>
  <si>
    <t>79919170-9</t>
  </si>
  <si>
    <t>96576540-9</t>
  </si>
  <si>
    <t>76198332-6</t>
  </si>
  <si>
    <t>96518750-2</t>
  </si>
  <si>
    <t>78036610-9</t>
  </si>
  <si>
    <t>76281049-2</t>
  </si>
  <si>
    <t>86480200-1</t>
  </si>
  <si>
    <t>76044123-6</t>
  </si>
  <si>
    <t>84852100-0</t>
  </si>
  <si>
    <t>78651220-4</t>
  </si>
  <si>
    <t>78384970-4</t>
  </si>
  <si>
    <t>76089233-5</t>
  </si>
  <si>
    <t>76296073-7</t>
  </si>
  <si>
    <t>79737880-1</t>
  </si>
  <si>
    <t>96835510-4</t>
  </si>
  <si>
    <t>78001640-K</t>
  </si>
  <si>
    <t>76054290-3</t>
  </si>
  <si>
    <t>78427540-K</t>
  </si>
  <si>
    <t>78058290-1</t>
  </si>
  <si>
    <t>99504220-7</t>
  </si>
  <si>
    <t>78100370-0</t>
  </si>
  <si>
    <t>79646350-3</t>
  </si>
  <si>
    <t>89255000-K</t>
  </si>
  <si>
    <t>96703690-0</t>
  </si>
  <si>
    <t>99591310-0</t>
  </si>
  <si>
    <t>78516810-0</t>
  </si>
  <si>
    <t>85629200-2</t>
  </si>
  <si>
    <t>79930150-4</t>
  </si>
  <si>
    <t>99534780-6</t>
  </si>
  <si>
    <t>76235973-1</t>
  </si>
  <si>
    <t>89530600-2</t>
  </si>
  <si>
    <t>76008900-1</t>
  </si>
  <si>
    <t>76633540-3</t>
  </si>
  <si>
    <t>99540460-5</t>
  </si>
  <si>
    <t>79802190-7</t>
  </si>
  <si>
    <t>88850400-1</t>
  </si>
  <si>
    <t>76397630-0</t>
  </si>
  <si>
    <t>79836760-9</t>
  </si>
  <si>
    <t>77580360-6</t>
  </si>
  <si>
    <t>76310170-3</t>
  </si>
  <si>
    <t>76147647-5</t>
  </si>
  <si>
    <t>99584580-6</t>
  </si>
  <si>
    <t>76101146-4</t>
  </si>
  <si>
    <t>99539360-3</t>
  </si>
  <si>
    <t>76034868-6</t>
  </si>
  <si>
    <t>76059203-K</t>
  </si>
  <si>
    <t>78556360-3</t>
  </si>
  <si>
    <t>78071660-6</t>
  </si>
  <si>
    <t>76150933-0</t>
  </si>
  <si>
    <t>85499100-0</t>
  </si>
  <si>
    <t>91440000-7</t>
  </si>
  <si>
    <t>79660760-2</t>
  </si>
  <si>
    <t>78040440-K</t>
  </si>
  <si>
    <t>76032430-2</t>
  </si>
  <si>
    <t>76036343-K</t>
  </si>
  <si>
    <t>76307421-8</t>
  </si>
  <si>
    <t>96773130-7</t>
  </si>
  <si>
    <t>89458100-K</t>
  </si>
  <si>
    <t>96907340-4</t>
  </si>
  <si>
    <t>76000659-9</t>
  </si>
  <si>
    <t>79721580-5</t>
  </si>
  <si>
    <t>76109794-6</t>
  </si>
  <si>
    <t>76045512-1</t>
  </si>
  <si>
    <t>76327430-6</t>
  </si>
  <si>
    <t>96651180-K</t>
  </si>
  <si>
    <t>76090349-3</t>
  </si>
  <si>
    <t>76007249-4</t>
  </si>
  <si>
    <t>76517760-K</t>
  </si>
  <si>
    <t>7189710-9</t>
  </si>
  <si>
    <t>88802600-2</t>
  </si>
  <si>
    <t>76061731-8</t>
  </si>
  <si>
    <t>76273720-5</t>
  </si>
  <si>
    <t>76557090-5</t>
  </si>
  <si>
    <t>96827470-8</t>
  </si>
  <si>
    <t>76135131-1</t>
  </si>
  <si>
    <t>76135638-0</t>
  </si>
  <si>
    <t>78144420-0</t>
  </si>
  <si>
    <t>76885634-6</t>
  </si>
  <si>
    <t>76181799-K</t>
  </si>
  <si>
    <t>76065460-4</t>
  </si>
  <si>
    <t>78972100-9</t>
  </si>
  <si>
    <t>12341715-1</t>
  </si>
  <si>
    <t>76087419-1</t>
  </si>
  <si>
    <t>86326300-K</t>
  </si>
  <si>
    <t>76110728-3</t>
  </si>
  <si>
    <t>76532516-1</t>
  </si>
  <si>
    <t>76227654-2</t>
  </si>
  <si>
    <t>77107650-5</t>
  </si>
  <si>
    <t>76206828-1</t>
  </si>
  <si>
    <t>78271370-1</t>
  </si>
  <si>
    <t>79804220-3</t>
  </si>
  <si>
    <t>90081000-8</t>
  </si>
  <si>
    <t>76280782-3</t>
  </si>
  <si>
    <t>76902266-K</t>
  </si>
  <si>
    <t>76274064-8</t>
  </si>
  <si>
    <t>76136210-0</t>
  </si>
  <si>
    <t>76947460-9</t>
  </si>
  <si>
    <t>77220600-3</t>
  </si>
  <si>
    <t>96832150-1</t>
  </si>
  <si>
    <t>79814800-1</t>
  </si>
  <si>
    <t>77972040-3</t>
  </si>
  <si>
    <t>96764220-7</t>
  </si>
  <si>
    <t>77061360-4</t>
  </si>
  <si>
    <t>76137120-7</t>
  </si>
  <si>
    <t>76109828-4</t>
  </si>
  <si>
    <t>78295150-5</t>
  </si>
  <si>
    <t>76161155-0</t>
  </si>
  <si>
    <t>14462479-3</t>
  </si>
  <si>
    <t>76217328-K</t>
  </si>
  <si>
    <t>77522330-8</t>
  </si>
  <si>
    <t>76633272-2</t>
  </si>
  <si>
    <t>76193074-5</t>
  </si>
  <si>
    <t>76136820-7</t>
  </si>
  <si>
    <t>76593070-7</t>
  </si>
  <si>
    <t>76388122-9</t>
  </si>
  <si>
    <t>70004007-7</t>
  </si>
  <si>
    <t>88860900-8</t>
  </si>
  <si>
    <t>77537820-4</t>
  </si>
  <si>
    <t>79763350-K</t>
  </si>
  <si>
    <t>78184900-6</t>
  </si>
  <si>
    <t>77001650-9</t>
  </si>
  <si>
    <t>76016396-1</t>
  </si>
  <si>
    <t>76291770-K</t>
  </si>
  <si>
    <t>76905223-2</t>
  </si>
  <si>
    <t>76204679-2</t>
  </si>
  <si>
    <t>96970410-2</t>
  </si>
  <si>
    <t>76068154-7</t>
  </si>
  <si>
    <t>76028602-8</t>
  </si>
  <si>
    <t>99570570-2</t>
  </si>
  <si>
    <t>79818020-7</t>
  </si>
  <si>
    <t>99540010-3</t>
  </si>
  <si>
    <t>76254765-1</t>
  </si>
  <si>
    <t>76622850-K</t>
  </si>
  <si>
    <t>78187230-K</t>
  </si>
  <si>
    <t>76634782-7</t>
  </si>
  <si>
    <t>96635750-9</t>
  </si>
  <si>
    <t>76271674-7</t>
  </si>
  <si>
    <t>76029635-K</t>
  </si>
  <si>
    <t>76132135-8</t>
  </si>
  <si>
    <t>89621400-4</t>
  </si>
  <si>
    <t>76309898-2</t>
  </si>
  <si>
    <t>76218589-K</t>
  </si>
  <si>
    <t>76930723-0</t>
  </si>
  <si>
    <t>79700610-6</t>
  </si>
  <si>
    <t>76347714-2</t>
  </si>
  <si>
    <t>76903240-1</t>
  </si>
  <si>
    <t>76661866-9</t>
  </si>
  <si>
    <t>76644560-8</t>
  </si>
  <si>
    <t>76046956-4</t>
  </si>
  <si>
    <t>96569370-K</t>
  </si>
  <si>
    <t>76395873-6</t>
  </si>
  <si>
    <t>96858440-5</t>
  </si>
  <si>
    <t>76236429-8</t>
  </si>
  <si>
    <t>77891760-2</t>
  </si>
  <si>
    <t>76200840-8</t>
  </si>
  <si>
    <t>78716100-6</t>
  </si>
  <si>
    <t>55555555-5</t>
  </si>
  <si>
    <t>76321704-3</t>
  </si>
  <si>
    <t>76524397-1</t>
  </si>
  <si>
    <t>76402933-K</t>
  </si>
  <si>
    <t>79672790-K</t>
  </si>
  <si>
    <t>76070183-1</t>
  </si>
  <si>
    <t>76553562-K</t>
  </si>
  <si>
    <t>88628300-8</t>
  </si>
  <si>
    <t>96877760-2</t>
  </si>
  <si>
    <t>76546056-5</t>
  </si>
  <si>
    <t>78435710-4</t>
  </si>
  <si>
    <t>76261986-5</t>
  </si>
  <si>
    <t>76306689-4</t>
  </si>
  <si>
    <t>81201000-K</t>
  </si>
  <si>
    <t>76780399-0</t>
  </si>
  <si>
    <t>76123927-9</t>
  </si>
  <si>
    <t>76115616-0</t>
  </si>
  <si>
    <t>77476390-2</t>
  </si>
  <si>
    <t>76625630-9</t>
  </si>
  <si>
    <t>86170100-K</t>
  </si>
  <si>
    <t>76775094-3</t>
  </si>
  <si>
    <t>6203896-9</t>
  </si>
  <si>
    <t>Sí</t>
  </si>
  <si>
    <t>Producto</t>
  </si>
  <si>
    <t>PP-0212</t>
  </si>
  <si>
    <t>Motor 1.5 HP WW</t>
  </si>
  <si>
    <t>PP-0103</t>
  </si>
  <si>
    <t>PP-0139</t>
  </si>
  <si>
    <t>PP-0152</t>
  </si>
  <si>
    <t>Motobomba H14</t>
  </si>
  <si>
    <t>PP-0179</t>
  </si>
  <si>
    <t>PP-0153</t>
  </si>
  <si>
    <t>Motobomba H240</t>
  </si>
  <si>
    <t>PP-0231</t>
  </si>
  <si>
    <t>PP-0144</t>
  </si>
  <si>
    <t>Portaboquillas 3/8</t>
  </si>
  <si>
    <t>PP-0108</t>
  </si>
  <si>
    <t>Cordón de 3 cables</t>
  </si>
  <si>
    <t>PP-0187</t>
  </si>
  <si>
    <t>PP-0206</t>
  </si>
  <si>
    <t>Relé de Estado Sólido 18-36 vac</t>
  </si>
  <si>
    <t>PP-0160</t>
  </si>
  <si>
    <t>Carcasa Filtro Azul</t>
  </si>
  <si>
    <t>PP-0143</t>
  </si>
  <si>
    <t>Tubing 3/8 Negro Alta Presión</t>
  </si>
  <si>
    <t>PP-0142</t>
  </si>
  <si>
    <t>Manguera 3/8 Negra Alta Presión</t>
  </si>
  <si>
    <t>PP-0121</t>
  </si>
  <si>
    <t>Transformador 24V DC 5 Amp</t>
  </si>
  <si>
    <t>PP-0004</t>
  </si>
  <si>
    <t>PP-0006</t>
  </si>
  <si>
    <t>Bomba Pedrollo</t>
  </si>
  <si>
    <t>PP-0199</t>
  </si>
  <si>
    <t>PP-0086</t>
  </si>
  <si>
    <t>PP-0201</t>
  </si>
  <si>
    <t>Manómetro alta presión</t>
  </si>
  <si>
    <t>PP-0148</t>
  </si>
  <si>
    <t>Abrazaderas 3/8</t>
  </si>
  <si>
    <t>PP-0214</t>
  </si>
  <si>
    <t>Flexible de Alta</t>
  </si>
  <si>
    <t>PP-0203</t>
  </si>
  <si>
    <t>Manómetro baja presión</t>
  </si>
  <si>
    <t>PP-0123</t>
  </si>
  <si>
    <t>Timer Digital 24 VDC</t>
  </si>
  <si>
    <t>PP-0013</t>
  </si>
  <si>
    <t>PP-0118</t>
  </si>
  <si>
    <t>Fusible 15 Amp</t>
  </si>
  <si>
    <t>PP-0063</t>
  </si>
  <si>
    <t>Controlador de Temperatura F Gauge</t>
  </si>
  <si>
    <t>PP-0211</t>
  </si>
  <si>
    <t>Enchufe Macho Domiciliario 10A</t>
  </si>
  <si>
    <t>PP-0116</t>
  </si>
  <si>
    <t>Manguera PE Azul 1/2</t>
  </si>
  <si>
    <t>PP-0075</t>
  </si>
  <si>
    <t>Controlador Bestflow</t>
  </si>
  <si>
    <t>PP-0191</t>
  </si>
  <si>
    <t>Selector 2 posiciones</t>
  </si>
  <si>
    <t>PP-0090</t>
  </si>
  <si>
    <t>PP-0119</t>
  </si>
  <si>
    <t>Fusible 20 Amp</t>
  </si>
  <si>
    <t>PP-0249</t>
  </si>
  <si>
    <t>Conector 6P Plateado</t>
  </si>
  <si>
    <t>PP-0200</t>
  </si>
  <si>
    <t>PP-0088</t>
  </si>
  <si>
    <t>PP-0089</t>
  </si>
  <si>
    <t>PP-0164</t>
  </si>
  <si>
    <t>Bracket Simple</t>
  </si>
  <si>
    <t>PP-0076</t>
  </si>
  <si>
    <t>PP-0002</t>
  </si>
  <si>
    <t>Adaptador Hidraulico 1/4 MP - 1/4 MP</t>
  </si>
  <si>
    <t>PP-0182</t>
  </si>
  <si>
    <t>Prensaestopa 13.5 c/tuerca</t>
  </si>
  <si>
    <t>PP-0210</t>
  </si>
  <si>
    <t>Adaptador Módulo Riel DIN</t>
  </si>
  <si>
    <t>PP-0209</t>
  </si>
  <si>
    <t>Módulo Enchufe Tablero</t>
  </si>
  <si>
    <t>PP-0014</t>
  </si>
  <si>
    <t>Codo Bronce Macho-Macho 1/4 NPT</t>
  </si>
  <si>
    <t>PP-0195</t>
  </si>
  <si>
    <t>PP-0229</t>
  </si>
  <si>
    <t>PP-0064</t>
  </si>
  <si>
    <t>Codo Macho-Macho 1/4 NPT x 1/4 Conico</t>
  </si>
  <si>
    <t>PP-0005</t>
  </si>
  <si>
    <t>Válvula flotante 1"</t>
  </si>
  <si>
    <t>PP-0087</t>
  </si>
  <si>
    <t>PP-0188</t>
  </si>
  <si>
    <t>Interruptor automatico 16A</t>
  </si>
  <si>
    <t>PP-0018</t>
  </si>
  <si>
    <t>PP-0184</t>
  </si>
  <si>
    <t>Prensaestopa 21 c/tuerca</t>
  </si>
  <si>
    <t>PP-0220</t>
  </si>
  <si>
    <t>PP-0037</t>
  </si>
  <si>
    <t>PP-0038</t>
  </si>
  <si>
    <t>PP-0046</t>
  </si>
  <si>
    <t>PP-0207</t>
  </si>
  <si>
    <t>Miniválvula bola 1/4</t>
  </si>
  <si>
    <t>PP-0040</t>
  </si>
  <si>
    <t>PP-0208</t>
  </si>
  <si>
    <t>Miniválvula bola 3/8</t>
  </si>
  <si>
    <t>PP-0104</t>
  </si>
  <si>
    <t>Bomba CAT 4DX27ER</t>
  </si>
  <si>
    <t>PP-0093</t>
  </si>
  <si>
    <t>PP-0092</t>
  </si>
  <si>
    <t>Sensor ATS</t>
  </si>
  <si>
    <t>PP-0192</t>
  </si>
  <si>
    <t>Enchufe Hembra</t>
  </si>
  <si>
    <t>PP-0072</t>
  </si>
  <si>
    <t>Pasamuro 3/8</t>
  </si>
  <si>
    <t>PP-0003</t>
  </si>
  <si>
    <t>Bomba Diafragma 24 VDC</t>
  </si>
  <si>
    <t>PP-0015</t>
  </si>
  <si>
    <t>Válvula Smart 24 VDC Miatech</t>
  </si>
  <si>
    <t>PP-0016</t>
  </si>
  <si>
    <t>Válvula 2 Vias Miatech</t>
  </si>
  <si>
    <t>PP-0017</t>
  </si>
  <si>
    <t>Válvula Solenoide Entrada DC Miatech</t>
  </si>
  <si>
    <t>PP-0023</t>
  </si>
  <si>
    <t>PP-0024</t>
  </si>
  <si>
    <t>PP-0025</t>
  </si>
  <si>
    <t>PP-0026</t>
  </si>
  <si>
    <t>PP-0027</t>
  </si>
  <si>
    <t>Adaptador Sensor de Flujo Miatech</t>
  </si>
  <si>
    <t>PP-0028</t>
  </si>
  <si>
    <t>PP-0029</t>
  </si>
  <si>
    <t>PP-0031</t>
  </si>
  <si>
    <t>Codo Negro para Barra de Aviga</t>
  </si>
  <si>
    <t>PP-0032</t>
  </si>
  <si>
    <t>PP-0033</t>
  </si>
  <si>
    <t>Conector Válvula Check 1/4</t>
  </si>
  <si>
    <t>PP-0035</t>
  </si>
  <si>
    <t>Flexible de Alta Miatech</t>
  </si>
  <si>
    <t>PP-0036</t>
  </si>
  <si>
    <t>PP-0039</t>
  </si>
  <si>
    <t>PP-0044</t>
  </si>
  <si>
    <t>PP-0047</t>
  </si>
  <si>
    <t>Aspa Motor WEG</t>
  </si>
  <si>
    <t>PP-0048</t>
  </si>
  <si>
    <t>CentrÍfugo Motor WEG</t>
  </si>
  <si>
    <t>PP-0049</t>
  </si>
  <si>
    <t>Boquillas Blancas Aviga</t>
  </si>
  <si>
    <t>PP-0050</t>
  </si>
  <si>
    <t>Boquillas Negras Aviga</t>
  </si>
  <si>
    <t>PP-0051</t>
  </si>
  <si>
    <t>Tanque Presión Aviga</t>
  </si>
  <si>
    <t>PP-0052</t>
  </si>
  <si>
    <t>Regulador Presión Drosia 12</t>
  </si>
  <si>
    <t>PP-0053</t>
  </si>
  <si>
    <t>Potenciómetro 1M</t>
  </si>
  <si>
    <t>PP-0054</t>
  </si>
  <si>
    <t>Tapa Potenciómetro</t>
  </si>
  <si>
    <t>PP-0055</t>
  </si>
  <si>
    <t>Transformador 230-24 AC Miatech</t>
  </si>
  <si>
    <t>PP-0057</t>
  </si>
  <si>
    <t>Caja Klima Timer Miatech</t>
  </si>
  <si>
    <t>PP-0058</t>
  </si>
  <si>
    <t>Klima Series</t>
  </si>
  <si>
    <t>PP-0068</t>
  </si>
  <si>
    <t>Cable Antena de 3 MTS</t>
  </si>
  <si>
    <t>PP-0069</t>
  </si>
  <si>
    <t>Antena de Cable 5 CM</t>
  </si>
  <si>
    <t>PP-0073</t>
  </si>
  <si>
    <t>Pasamuro 1/2</t>
  </si>
  <si>
    <t>PP-0078</t>
  </si>
  <si>
    <t>PP-0079</t>
  </si>
  <si>
    <t>Conector Hembra 1/4 NPT x 1/4 QC</t>
  </si>
  <si>
    <t>PP-0080</t>
  </si>
  <si>
    <t>Conector Antiagua 3PIN</t>
  </si>
  <si>
    <t>PP-0083</t>
  </si>
  <si>
    <t>PP-0084</t>
  </si>
  <si>
    <t>PP-0085</t>
  </si>
  <si>
    <t>PP-0091</t>
  </si>
  <si>
    <t>PP-0094</t>
  </si>
  <si>
    <t>PP-0095</t>
  </si>
  <si>
    <t>PP-0097</t>
  </si>
  <si>
    <t>Marcelo Molina</t>
  </si>
  <si>
    <t>PP-0106</t>
  </si>
  <si>
    <t>PP-0107</t>
  </si>
  <si>
    <t>PP-0109</t>
  </si>
  <si>
    <t>PP-0112</t>
  </si>
  <si>
    <t>Manguera PE Azul 1/4</t>
  </si>
  <si>
    <t>PP-0113</t>
  </si>
  <si>
    <t>Manguera PE Gris 3/8</t>
  </si>
  <si>
    <t>PP-0114</t>
  </si>
  <si>
    <t>Manguera PE Azul 3/8</t>
  </si>
  <si>
    <t>PP-0115</t>
  </si>
  <si>
    <t>Manguera PE Roja 3/8</t>
  </si>
  <si>
    <t>PP-0117</t>
  </si>
  <si>
    <t>Potenciómetro 5M Perilla Larga</t>
  </si>
  <si>
    <t>PP-0120</t>
  </si>
  <si>
    <t>Fusible 5 Amp</t>
  </si>
  <si>
    <t>PP-0122</t>
  </si>
  <si>
    <t>Datalogger HyT</t>
  </si>
  <si>
    <t>PP-0125</t>
  </si>
  <si>
    <t>Termohigrómetro</t>
  </si>
  <si>
    <t>PP-0126</t>
  </si>
  <si>
    <t>Botón on/off negro</t>
  </si>
  <si>
    <t>PP-0127</t>
  </si>
  <si>
    <t>PP-0128</t>
  </si>
  <si>
    <t>Pistola Infrarroja Termohigrómetro</t>
  </si>
  <si>
    <t>PP-0131</t>
  </si>
  <si>
    <t>Válvula Solenoide Purga 24V DC N/A</t>
  </si>
  <si>
    <t>PP-0132</t>
  </si>
  <si>
    <t>Válvula Solenoide Purga 24V DC N/C</t>
  </si>
  <si>
    <t>PP-0133</t>
  </si>
  <si>
    <t>Controlador Humedad Willhi</t>
  </si>
  <si>
    <t>PP-0134</t>
  </si>
  <si>
    <t>Sensor de Flujo</t>
  </si>
  <si>
    <t>PP-0136</t>
  </si>
  <si>
    <t>Parlante Ultrasonido L</t>
  </si>
  <si>
    <t>PP-0137</t>
  </si>
  <si>
    <t>Parlante Ultrasonido M</t>
  </si>
  <si>
    <t>PP-0138</t>
  </si>
  <si>
    <t>PP-0140</t>
  </si>
  <si>
    <t>Tapón 3/8</t>
  </si>
  <si>
    <t>PP-0141</t>
  </si>
  <si>
    <t>Bomba Drosia 12 / H12</t>
  </si>
  <si>
    <t>PP-0145</t>
  </si>
  <si>
    <t>Codo de Alta 3/8</t>
  </si>
  <si>
    <t>PP-0146</t>
  </si>
  <si>
    <t>Tee de Alta 3/8</t>
  </si>
  <si>
    <t>PP-0147</t>
  </si>
  <si>
    <t>Copla de Alta 3/8</t>
  </si>
  <si>
    <t>PP-0154</t>
  </si>
  <si>
    <t>Motobomba H50</t>
  </si>
  <si>
    <t>PP-0157</t>
  </si>
  <si>
    <t>Sensor Humedad</t>
  </si>
  <si>
    <t>PP-0162</t>
  </si>
  <si>
    <t>PP-0165</t>
  </si>
  <si>
    <t>Bracket Triple</t>
  </si>
  <si>
    <t>PP-0166</t>
  </si>
  <si>
    <t>PP-0168</t>
  </si>
  <si>
    <t>Llave abre carcasa para filtros</t>
  </si>
  <si>
    <t>PP-0169</t>
  </si>
  <si>
    <t>Tijera corta tubing</t>
  </si>
  <si>
    <t>PP-0171</t>
  </si>
  <si>
    <t>Sensor Ultrasonido</t>
  </si>
  <si>
    <t>PP-0172</t>
  </si>
  <si>
    <t>PP-0173</t>
  </si>
  <si>
    <t>Sensor de Flujo Ultrasonido</t>
  </si>
  <si>
    <t>PP-0177</t>
  </si>
  <si>
    <t>PP-0183</t>
  </si>
  <si>
    <t>Prensaestopa 16 c/tuera</t>
  </si>
  <si>
    <t>PP-0189</t>
  </si>
  <si>
    <t>PP-0190</t>
  </si>
  <si>
    <t>Botón Parada Emergencia Rojo</t>
  </si>
  <si>
    <t>PP-0193</t>
  </si>
  <si>
    <t>Enchufe Macho Industrial Azul</t>
  </si>
  <si>
    <t>PP-0194</t>
  </si>
  <si>
    <t>PP-0197</t>
  </si>
  <si>
    <t>PP-0198</t>
  </si>
  <si>
    <t>PP-0202</t>
  </si>
  <si>
    <t>PP-0213</t>
  </si>
  <si>
    <t>Motor 2 HP WW</t>
  </si>
  <si>
    <t>PP-0216</t>
  </si>
  <si>
    <t>Kit Orings, material estándar NBR p/n 76754</t>
  </si>
  <si>
    <t>PP-0223</t>
  </si>
  <si>
    <t>Tarjeta Telemetría</t>
  </si>
  <si>
    <t>PP-0226</t>
  </si>
  <si>
    <t>PP-0228</t>
  </si>
  <si>
    <t>Estructura Mueble Metálico Rack</t>
  </si>
  <si>
    <t>PP-0232</t>
  </si>
  <si>
    <t>PP-0233</t>
  </si>
  <si>
    <t>PP-0235</t>
  </si>
  <si>
    <t>PP-0238</t>
  </si>
  <si>
    <t>Cable Calefactor</t>
  </si>
  <si>
    <t>PP-0241</t>
  </si>
  <si>
    <t>Display</t>
  </si>
  <si>
    <t>PP-0243</t>
  </si>
  <si>
    <t>Cruz de Alta 3/8</t>
  </si>
  <si>
    <t>PP-0244</t>
  </si>
  <si>
    <t>Niple HE 1'</t>
  </si>
  <si>
    <t>PP-0246</t>
  </si>
  <si>
    <t>PP-0247</t>
  </si>
  <si>
    <t>PP-0248</t>
  </si>
  <si>
    <t>Conector 8P Negro Antiagua</t>
  </si>
  <si>
    <t>PP-0250</t>
  </si>
  <si>
    <t>PP-0253</t>
  </si>
  <si>
    <t>Aspa Motor WW</t>
  </si>
  <si>
    <t>PP-0254</t>
  </si>
  <si>
    <t>PP-0255</t>
  </si>
  <si>
    <t>PP-0256</t>
  </si>
  <si>
    <t>PP-0257</t>
  </si>
  <si>
    <t>PP-0258</t>
  </si>
  <si>
    <t>PP-0259</t>
  </si>
  <si>
    <t>PP-0261</t>
  </si>
  <si>
    <t>Sujetador de Barra Negro</t>
  </si>
  <si>
    <t>PP-0265</t>
  </si>
  <si>
    <t>PP-0266</t>
  </si>
  <si>
    <t>PP-0267</t>
  </si>
  <si>
    <t>RECIBE CONFORME</t>
  </si>
  <si>
    <t>Razón Social</t>
  </si>
  <si>
    <t>N° Orden Compra</t>
  </si>
  <si>
    <t>N° IT</t>
  </si>
  <si>
    <t>Fecha de IT</t>
  </si>
  <si>
    <t xml:space="preserve">Cotización </t>
  </si>
  <si>
    <t>O. Compra</t>
  </si>
  <si>
    <t xml:space="preserve">Nombre </t>
  </si>
  <si>
    <t>BASE DE DATOS PIJ - NO EDITAR</t>
  </si>
  <si>
    <t>CARRETERA EL COBRE KM 4 N°2521, GALPÓN 5, BOULEVARD NOGALES, MACHALÍ, RANCAGUA.</t>
  </si>
  <si>
    <t xml:space="preserve">PROYECTOS INDUSTRIALES JOHNSON LTDA. </t>
  </si>
  <si>
    <t>TEL: 72 2611263 / MAIL: CONTACTO@PIJ.CL / WWW.PIJ.CL</t>
  </si>
  <si>
    <t>OBSERVACIONES GENERALES</t>
  </si>
  <si>
    <t xml:space="preserve">   Razón Social</t>
  </si>
  <si>
    <t xml:space="preserve">   RUT Cliente</t>
  </si>
  <si>
    <t xml:space="preserve">   Ubicación Física</t>
  </si>
  <si>
    <t xml:space="preserve">   Modelo </t>
  </si>
  <si>
    <t xml:space="preserve">   Nombre Cliente:</t>
  </si>
  <si>
    <t xml:space="preserve">   Email:</t>
  </si>
  <si>
    <t xml:space="preserve">   Teléfono:                                </t>
  </si>
  <si>
    <t xml:space="preserve">   Firma:                       </t>
  </si>
  <si>
    <t xml:space="preserve">  Nombre Técnico:</t>
  </si>
  <si>
    <t xml:space="preserve">   Nombre #1</t>
  </si>
  <si>
    <t xml:space="preserve">   Nombre #2</t>
  </si>
  <si>
    <t xml:space="preserve">   Nombre #3</t>
  </si>
  <si>
    <t>U24</t>
  </si>
  <si>
    <t>Drosia 12</t>
  </si>
  <si>
    <t>Técnico</t>
  </si>
  <si>
    <t>Fabián Véliz</t>
  </si>
  <si>
    <t>San Fco Mostazal, VI Región</t>
  </si>
  <si>
    <t>Santa Cruz, VI Región</t>
  </si>
  <si>
    <t>San Felipe, V Región</t>
  </si>
  <si>
    <t>Los Andes, V Región</t>
  </si>
  <si>
    <t>Curico, VII Región</t>
  </si>
  <si>
    <t>Copiapó, III Región</t>
  </si>
  <si>
    <t>Casa Blanca, V Región</t>
  </si>
  <si>
    <t>Sagrada Familia, VII Región</t>
  </si>
  <si>
    <t>Chimbarongo, VI Región</t>
  </si>
  <si>
    <t>Pichidegua, VI Región</t>
  </si>
  <si>
    <t>San Fernando, VI Región</t>
  </si>
  <si>
    <t>Codegua, VI Región</t>
  </si>
  <si>
    <t>Sarmiento, VII Región</t>
  </si>
  <si>
    <t>Retiro, VII Región</t>
  </si>
  <si>
    <t>Coquimbo, IV Región</t>
  </si>
  <si>
    <t>Teno, VII Región</t>
  </si>
  <si>
    <t>Vallenar, III Región</t>
  </si>
  <si>
    <t>Quinta De Tilcoco, VI Región</t>
  </si>
  <si>
    <t>Romeral, VII Región</t>
  </si>
  <si>
    <t>Rengo, VI Región</t>
  </si>
  <si>
    <t>Quillota, V Región</t>
  </si>
  <si>
    <t>Angol, IX Región</t>
  </si>
  <si>
    <t>Collipulli, IX Región</t>
  </si>
  <si>
    <t>Rancagua, VI Región</t>
  </si>
  <si>
    <t>San Clemente, VII Región</t>
  </si>
  <si>
    <t>Requinoa, VI Región</t>
  </si>
  <si>
    <t>Catemu, V Región</t>
  </si>
  <si>
    <t>Molina, VII Región</t>
  </si>
  <si>
    <t>Osorno, X Región</t>
  </si>
  <si>
    <t>Chepica, VI Región</t>
  </si>
  <si>
    <t>Machalí, VI Región</t>
  </si>
  <si>
    <t>Talca, VII Región</t>
  </si>
  <si>
    <t>Placilla, VI Región</t>
  </si>
  <si>
    <t>Vicuña, IV Región</t>
  </si>
  <si>
    <t>Monte Patria, IV Región</t>
  </si>
  <si>
    <t>San Vicente, VI Región</t>
  </si>
  <si>
    <t>Limache, V Región</t>
  </si>
  <si>
    <t>Drosia 100</t>
  </si>
  <si>
    <t>Klima 800</t>
  </si>
  <si>
    <t xml:space="preserve">                               INFORME TÉCNICO   </t>
  </si>
  <si>
    <t xml:space="preserve">   Fecha Servicio</t>
  </si>
  <si>
    <t>76088833-8</t>
  </si>
  <si>
    <t>78408440-K</t>
  </si>
  <si>
    <t>Lo Miranda, VI Región</t>
  </si>
  <si>
    <t>Faenadora San Vicente Agrosuper</t>
  </si>
  <si>
    <t>78483600-2</t>
  </si>
  <si>
    <t>Procesadora de Alimentos del Sur Limitada (Faenadora El Milagro Agrosuper)</t>
  </si>
  <si>
    <t>Procesadora de Alimentos del Sur Limitada (Faenadora Rosario Agrosuper)</t>
  </si>
  <si>
    <t>96795980-4</t>
  </si>
  <si>
    <t>96755020-5</t>
  </si>
  <si>
    <t xml:space="preserve">Exportadora Unifrutti Traders SPA </t>
  </si>
  <si>
    <t>Grin Group SPA</t>
  </si>
  <si>
    <t>77419338-3</t>
  </si>
  <si>
    <t>Agrícola Los Renuevos Ltda.</t>
  </si>
  <si>
    <t>79514030-1</t>
  </si>
  <si>
    <t>PP-0001</t>
  </si>
  <si>
    <t>Adaptador Hidraulico 1/4 MP - 1/4 FPX</t>
  </si>
  <si>
    <t>PP-0007</t>
  </si>
  <si>
    <t>Tee Bronce Hembra 3/8</t>
  </si>
  <si>
    <t>PP-0010</t>
  </si>
  <si>
    <t>Unión Hembra Bronce 1/4 NPT</t>
  </si>
  <si>
    <t>PP-0011</t>
  </si>
  <si>
    <t>Sensor de Movimiento 180°</t>
  </si>
  <si>
    <t>Unión Bronce Macho 1/4 NPT</t>
  </si>
  <si>
    <t>PP-0019</t>
  </si>
  <si>
    <t>Unión Bronce Macho 3/8 NPT</t>
  </si>
  <si>
    <t>PP-0020</t>
  </si>
  <si>
    <t>Codo CEM 45° 32mm</t>
  </si>
  <si>
    <t>PP-0041</t>
  </si>
  <si>
    <t>PP-0096</t>
  </si>
  <si>
    <t>Termómetro de Pincho</t>
  </si>
  <si>
    <t>PP-0176</t>
  </si>
  <si>
    <t>Cable Brain</t>
  </si>
  <si>
    <t>PP-0180</t>
  </si>
  <si>
    <t>PP-0181</t>
  </si>
  <si>
    <t>Protector Motor</t>
  </si>
  <si>
    <t>PP-0185</t>
  </si>
  <si>
    <t>PP-0205</t>
  </si>
  <si>
    <t>PP-0217</t>
  </si>
  <si>
    <t>Panel Frontal H100</t>
  </si>
  <si>
    <t>PP-0219</t>
  </si>
  <si>
    <t>Cordón 6 cables</t>
  </si>
  <si>
    <t>Carcasa Plateada HK83MCN 60-90 micron</t>
  </si>
  <si>
    <t>Protector Aspa Motor WW</t>
  </si>
  <si>
    <t>Cubre Eje Motor 1.5 HP WW</t>
  </si>
  <si>
    <t>Condensador de Partida Motor 1.5</t>
  </si>
  <si>
    <t>Condensador Trabajo Motor WW</t>
  </si>
  <si>
    <t>Cubre Eje Motor 2 HP WW</t>
  </si>
  <si>
    <t>Condensador de Partida Motor 2HP</t>
  </si>
  <si>
    <t>Bomba Diafragma 24 VDC 3.6L EG</t>
  </si>
  <si>
    <t>Bomba Diafragma 24 VDC 5.3L EG</t>
  </si>
  <si>
    <t>Tensor Galvanizado 3.8</t>
  </si>
  <si>
    <t>PP-0284</t>
  </si>
  <si>
    <t>Parlante CL-MK12 7L/H Ultrasonio</t>
  </si>
  <si>
    <t>PP-0285</t>
  </si>
  <si>
    <t>Transformador Parlante Ultrasonido 350W</t>
  </si>
  <si>
    <t>PP-0287</t>
  </si>
  <si>
    <t>PP-0288</t>
  </si>
  <si>
    <t>Conector Hembra 1/2 NPT x 1/2 QC</t>
  </si>
  <si>
    <t>PP-0289</t>
  </si>
  <si>
    <t>Manguera PE Negra 1/4</t>
  </si>
  <si>
    <t>PP-0290</t>
  </si>
  <si>
    <t>Voltimetro Amperimetro para Tablero de Control</t>
  </si>
  <si>
    <t>PP-0215</t>
  </si>
  <si>
    <t>PP-0251</t>
  </si>
  <si>
    <t>PP-0262</t>
  </si>
  <si>
    <t>PP-0264</t>
  </si>
  <si>
    <t>PP-0268</t>
  </si>
  <si>
    <t>PP-0272</t>
  </si>
  <si>
    <t>Panel Frontal H14</t>
  </si>
  <si>
    <t>PP-0300</t>
  </si>
  <si>
    <t>PP-0303</t>
  </si>
  <si>
    <t>PP-0307</t>
  </si>
  <si>
    <t>PP-0309</t>
  </si>
  <si>
    <t>PP-0311</t>
  </si>
  <si>
    <t>PP-0312</t>
  </si>
  <si>
    <t>PP-0313</t>
  </si>
  <si>
    <t>PP-0314</t>
  </si>
  <si>
    <t>PP-0319</t>
  </si>
  <si>
    <t>PP-0320</t>
  </si>
  <si>
    <t>PP-0321</t>
  </si>
  <si>
    <t>PP-0322</t>
  </si>
  <si>
    <t>PP-0323</t>
  </si>
  <si>
    <t>PP-0325</t>
  </si>
  <si>
    <t>PP-0326</t>
  </si>
  <si>
    <t>Servicio</t>
  </si>
  <si>
    <t>EQ-0002</t>
  </si>
  <si>
    <t>Equipo Humidificador H12</t>
  </si>
  <si>
    <t>EQ-0005</t>
  </si>
  <si>
    <t>EQ-0009</t>
  </si>
  <si>
    <t>EQ-0014</t>
  </si>
  <si>
    <t>Ubicación Completa</t>
  </si>
  <si>
    <t>Viña Morandé</t>
  </si>
  <si>
    <t>86323300-K</t>
  </si>
  <si>
    <t>Ovalle, IV Región</t>
  </si>
  <si>
    <t>Vinícola Patacon SPA (Jacques Cauquenes)</t>
  </si>
  <si>
    <t>89069300-8</t>
  </si>
  <si>
    <t>Cauquenes, VII Región</t>
  </si>
  <si>
    <t>Sociedad Agrícola Valle Escondido Ltda. (Cherry Cristales)</t>
  </si>
  <si>
    <t>Nancagua, VI Región</t>
  </si>
  <si>
    <t>Sociedad Agrícola Patricia María</t>
  </si>
  <si>
    <t>76653397-3</t>
  </si>
  <si>
    <t>79672610-5</t>
  </si>
  <si>
    <t>Sociedad Agricola El Prado (Cherry Prado)</t>
  </si>
  <si>
    <t>Sociedad Agricola El Piden Ltda.</t>
  </si>
  <si>
    <t xml:space="preserve">78518510-2 </t>
  </si>
  <si>
    <t>Doñihue, VI Región</t>
  </si>
  <si>
    <t>Sociedad Agricola Altué (Santa Isabel)</t>
  </si>
  <si>
    <t>Sociedad Agricola Altué (San Antonio)</t>
  </si>
  <si>
    <t>Sociedad Agricola Altué (La Carlina)</t>
  </si>
  <si>
    <t>Soc Comercializadora Maconde Limitada (Viña Macaya)</t>
  </si>
  <si>
    <t>76271391-8</t>
  </si>
  <si>
    <t>Roberto Puschel</t>
  </si>
  <si>
    <t>7492924-9</t>
  </si>
  <si>
    <t>Gorbea, IX Región</t>
  </si>
  <si>
    <t>81537600-5</t>
  </si>
  <si>
    <t>Prize Proservice S.A. (Negrete)</t>
  </si>
  <si>
    <t>Curicó, VII Región</t>
  </si>
  <si>
    <t>Neptuno SA (Planta El Cisne)</t>
  </si>
  <si>
    <t>80538300-3</t>
  </si>
  <si>
    <t>Chillán, VIII Región</t>
  </si>
  <si>
    <t>Inmobiliaria Gamboa y Poblete (La Hacienda Restaurant)</t>
  </si>
  <si>
    <t>Hacienda Los Quillayes SPA</t>
  </si>
  <si>
    <t>H Export SPA (Frutissima)</t>
  </si>
  <si>
    <t>77364233-8</t>
  </si>
  <si>
    <t>Los Angeles, VIII Región</t>
  </si>
  <si>
    <t>Giddings Cerasus (La Diana)</t>
  </si>
  <si>
    <t>Giddings Berries</t>
  </si>
  <si>
    <t>Río Bueno, X Región</t>
  </si>
  <si>
    <t>Faenadora Lo Miranda Agrosuper Cerdos</t>
  </si>
  <si>
    <t>Faenadora Lo Miranda Agrosuper Aves</t>
  </si>
  <si>
    <t>Exportadora Unifrutti Traders SPA (La Aparicion)</t>
  </si>
  <si>
    <t>Exportadora Unifrutti Traders SPA</t>
  </si>
  <si>
    <t>Requínoa, Región</t>
  </si>
  <si>
    <t>Exportadora Natural Chile S.A.</t>
  </si>
  <si>
    <t>76256934-5</t>
  </si>
  <si>
    <t>84833100-7</t>
  </si>
  <si>
    <t>Comercial Agricola Raimundo Limitada (Carlos Moreno)</t>
  </si>
  <si>
    <t>Clos Apalta Spa (Lapostolle)</t>
  </si>
  <si>
    <t>76746226-3</t>
  </si>
  <si>
    <t>Cherry Group (Cherry S.Berta)</t>
  </si>
  <si>
    <t>Avícola y Comercial El Toco Ltda (Cinta Azul)</t>
  </si>
  <si>
    <t>78.383.730-7</t>
  </si>
  <si>
    <t>Agropecuaria Wapri</t>
  </si>
  <si>
    <t>Agroindustria Siracusa S.A.</t>
  </si>
  <si>
    <t>76359200-6</t>
  </si>
  <si>
    <t>Agrofarming S.A. (Santa Carmen)</t>
  </si>
  <si>
    <t>76532552-8</t>
  </si>
  <si>
    <t>Agrofarming S.A. (Rauco)</t>
  </si>
  <si>
    <t>Rauco, VII Región</t>
  </si>
  <si>
    <t>Agrícola Vivero Limache SPA</t>
  </si>
  <si>
    <t xml:space="preserve">77324665-3 </t>
  </si>
  <si>
    <t>Agricola Verdani Limitada (Nocedal)</t>
  </si>
  <si>
    <t>76329329-7</t>
  </si>
  <si>
    <t>Quiñantu, Talca, VII Región</t>
  </si>
  <si>
    <t>Agricola Verdani Limitada (Casa Matriz)</t>
  </si>
  <si>
    <t xml:space="preserve">Agrícola Tuman </t>
  </si>
  <si>
    <t>76450785-1</t>
  </si>
  <si>
    <t>Agricola Solagri Colin SPA</t>
  </si>
  <si>
    <t>77363735-0</t>
  </si>
  <si>
    <t>Agrícola Servando Jordán Valenzuela EIRL</t>
  </si>
  <si>
    <t>Agricola Santa Lucia Ltda (Maxagro)</t>
  </si>
  <si>
    <t>Agrícola Santa Amelia (Oscar Aliaga)</t>
  </si>
  <si>
    <t>78032680-8</t>
  </si>
  <si>
    <t>Agricola Santa Alicia (Finest Codegua)</t>
  </si>
  <si>
    <t>Sociedad Agrícola El Toqui Ltda. (Llahuén)</t>
  </si>
  <si>
    <t>78267590-7</t>
  </si>
  <si>
    <t>Agrícola Las Encinas de Ocoa Ltda.</t>
  </si>
  <si>
    <t>76381146-8</t>
  </si>
  <si>
    <t>Ocoa, V Región</t>
  </si>
  <si>
    <t>Reñaca, V Región</t>
  </si>
  <si>
    <t>Agricola El Maiten (Rodrigo Orpis)</t>
  </si>
  <si>
    <t>Agrícola El Comino Ltda.</t>
  </si>
  <si>
    <t>Agrícola Doña Fernanda Ltda. (Carlos Hurtado)</t>
  </si>
  <si>
    <t>76213189-7</t>
  </si>
  <si>
    <t>Agrícola Cerro El Madroñal Limitada</t>
  </si>
  <si>
    <t>Agrícola Las Tres Marías Ltda.</t>
  </si>
  <si>
    <t>78066780-K</t>
  </si>
  <si>
    <t>Viña del Nuevo Mundo S.A. (Viña Las Niñas)</t>
  </si>
  <si>
    <t>96853020-8</t>
  </si>
  <si>
    <t>Mapa GPS</t>
  </si>
  <si>
    <t>Serial</t>
  </si>
  <si>
    <t>https://goo.gl/maps/bm5DXeXjF4SC8b8R7</t>
  </si>
  <si>
    <t>Drosia 50</t>
  </si>
  <si>
    <t>Drosia 35</t>
  </si>
  <si>
    <t>https://goo.gl/maps/4A8x3i6hjrVN3QJU8</t>
  </si>
  <si>
    <t>https://goo.gl/maps/FeigDacboDxgAbaTA</t>
  </si>
  <si>
    <t>https://goo.gl/maps/yiBueiPin97ry6sg7</t>
  </si>
  <si>
    <t>https://goo.gl/maps/ZzDmD54J1FMzNzPy9</t>
  </si>
  <si>
    <t>https://goo.gl/maps/YLbG1tvwxxDQrmdZ9</t>
  </si>
  <si>
    <t>https://goo.gl/maps/LrPnzNTzRpddqee3A</t>
  </si>
  <si>
    <t>Vorias 32</t>
  </si>
  <si>
    <t>https://goo.gl/maps/5CHcwGXkk7rCFLND9</t>
  </si>
  <si>
    <t>https://goo.gl/maps/3rvrXosVtG7RVVXa8</t>
  </si>
  <si>
    <t>https://goo.gl/maps/NNTKbDQmhYq9yzmL8</t>
  </si>
  <si>
    <t>https://goo.gl/maps/t24bzWm7Megktaxv8</t>
  </si>
  <si>
    <t>https://g.page/vinavallesecreto?share</t>
  </si>
  <si>
    <t>https://goo.gl/maps/1Xk1hsSNTctNFh239</t>
  </si>
  <si>
    <t>https://g.page/vinasantacruz?share</t>
  </si>
  <si>
    <t>https://goo.gl/maps/9xbb1Q3qJERQ9Ya4A</t>
  </si>
  <si>
    <t>https://goo.gl/maps/PkMg4QewNK2DmrdD6</t>
  </si>
  <si>
    <t>https://goo.gl/maps/XQMMcmjSrXJ1SMGb9</t>
  </si>
  <si>
    <t>PIJ0214</t>
  </si>
  <si>
    <t>https://goo.gl/maps/F818SMZewzKHvua86</t>
  </si>
  <si>
    <t>https://goo.gl/maps/rjgKFr2nokh6KaXU8</t>
  </si>
  <si>
    <t>Aqua Room 4</t>
  </si>
  <si>
    <t>https://goo.gl/maps/yLju5zUJrGQbUNQi7</t>
  </si>
  <si>
    <t>https://goo.gl/maps/d58LZkSRpL414tCf6</t>
  </si>
  <si>
    <t>https://goo.gl/maps/nDoKRArWoZGF8X917</t>
  </si>
  <si>
    <t>https://goo.gl/maps/TRnoq6qbHaGyWx9cA</t>
  </si>
  <si>
    <t>https://goo.gl/maps/69xHGxZoyp5YeL2K9</t>
  </si>
  <si>
    <t>https://goo.gl/maps/jba25hXazzM5SijS8</t>
  </si>
  <si>
    <t>https://goo.gl/maps/qSRN6Kh63da9TaRT7</t>
  </si>
  <si>
    <t>PIJ0241</t>
  </si>
  <si>
    <t>https://goo.gl/maps/d2fPdMswjG5Dy8LD7</t>
  </si>
  <si>
    <t>https://goo.gl/maps/Pb38yfkK21PerohW9</t>
  </si>
  <si>
    <t>https://goo.gl/maps/rpgAbCD3zoz7Qdv4A</t>
  </si>
  <si>
    <t>https://goo.gl/maps/R9S6WmUzWVpaoMr46</t>
  </si>
  <si>
    <t>https://goo.gl/maps/2M9eTRYp9jhXRLnN7</t>
  </si>
  <si>
    <t>https://goo.gl/maps/cbZ5zSs7ux886dCF8</t>
  </si>
  <si>
    <t>https://goo.gl/maps/q6ehskW7EeCjUmuD9</t>
  </si>
  <si>
    <t>PIJ0162</t>
  </si>
  <si>
    <t>https://goo.gl/maps/PL8k31ouzwbch5GS9</t>
  </si>
  <si>
    <t>Klima Cool 50</t>
  </si>
  <si>
    <t>https://goo.gl/maps/8TjTSyti6aH65Pak7</t>
  </si>
  <si>
    <t>https://goo.gl/maps/ENfsqRUCqCwjg1pQ9</t>
  </si>
  <si>
    <t>https://goo.gl/maps/d389KJ1BnYW7PsWC7</t>
  </si>
  <si>
    <t>https://goo.gl/maps/KqtwCKw94gGRMrcJ6</t>
  </si>
  <si>
    <t xml:space="preserve">Klima 800 </t>
  </si>
  <si>
    <t>https://goo.gl/maps/Q6UwtZHKK1mKkEbJA</t>
  </si>
  <si>
    <t>https://goo.gl/maps/dF93XUrV4VZgLdVbA</t>
  </si>
  <si>
    <t>https://goo.gl/maps/gPY62XiWcJ5JgG9w6</t>
  </si>
  <si>
    <t>https://goo.gl/maps/teY2eiM5RVwm953D6</t>
  </si>
  <si>
    <t>PIJ0238</t>
  </si>
  <si>
    <t>https://goo.gl/maps/JNQ8tcwAK7zkPwQx5</t>
  </si>
  <si>
    <t>https://goo.gl/maps/Ee9sVepAsQ7aXs4R6</t>
  </si>
  <si>
    <t>PIJ0001</t>
  </si>
  <si>
    <t>https://goo.gl/maps/4Dh2jYmhBJXggUDa6</t>
  </si>
  <si>
    <t>https://goo.gl/maps/FdXubiCnL2iQyZDv6</t>
  </si>
  <si>
    <t>https://goo.gl/maps/wjj5a2G1RK6cjjhU6</t>
  </si>
  <si>
    <t>https://goo.gl/maps/AayyvGFF54PApskZ6</t>
  </si>
  <si>
    <t>https://goo.gl/maps/ufoxFZdpQjLVLjBd9</t>
  </si>
  <si>
    <t>https://goo.gl/maps/TaCYnSN2ysikxDGCA</t>
  </si>
  <si>
    <t>PIJ0283</t>
  </si>
  <si>
    <t>https://goo.gl/maps/NtNmeM3CQQBkaESo8</t>
  </si>
  <si>
    <t>https://goo.gl/maps/tubJ8KGLQL1bvof58</t>
  </si>
  <si>
    <t>Klima Cool 35</t>
  </si>
  <si>
    <t>https://goo.gl/maps/msi4x6nAu2GASS3B9</t>
  </si>
  <si>
    <t>https://goo.gl/maps/WMXZAXDFDwt13LUz5</t>
  </si>
  <si>
    <t>https://goo.gl/maps/GZSPyKiYcuHZ36FB7</t>
  </si>
  <si>
    <t>https://goo.gl/maps/tF1apmU9dZQVxJj4A</t>
  </si>
  <si>
    <t>https://goo.gl/maps/Zk7acVKiFkiXGB4cA</t>
  </si>
  <si>
    <t>https://goo.gl/maps/1XK3hLP8eytMqxH17</t>
  </si>
  <si>
    <t>https://goo.gl/maps/RmywiAmKE3rP1nyGA</t>
  </si>
  <si>
    <t>https://goo.gl/maps/a58N3Nh8z4TgoGtx7</t>
  </si>
  <si>
    <t>H140001</t>
  </si>
  <si>
    <t>PIJ0151</t>
  </si>
  <si>
    <t>PIJ0149</t>
  </si>
  <si>
    <t>PIJ0150</t>
  </si>
  <si>
    <t>https://goo.gl/maps/aUW7PcDMwAd9hpGD6</t>
  </si>
  <si>
    <t>https://goo.gl/maps/zGcoUfCNaNvTpAVT6</t>
  </si>
  <si>
    <t>https://goo.gl/maps/BoH1Pf62Sf9XpqyQ9</t>
  </si>
  <si>
    <t>https://goo.gl/maps/curJn5RuqrAy55Vv5</t>
  </si>
  <si>
    <t>Bioturbo 6000</t>
  </si>
  <si>
    <t>https://goo.gl/maps/CeW7rgyibATLKfqV9</t>
  </si>
  <si>
    <t>https://goo.gl/maps/eQgLmvY9wNyon5yz5</t>
  </si>
  <si>
    <t>https://goo.gl/maps/g2kArdT68YSadiym9</t>
  </si>
  <si>
    <t>https://goo.gl/maps/VNHMAPJoe2aVv6E19</t>
  </si>
  <si>
    <t>PIJ0200</t>
  </si>
  <si>
    <t>https://goo.gl/maps/Q4zWyoNsQ9812Ghr5</t>
  </si>
  <si>
    <t>PIJ0121</t>
  </si>
  <si>
    <t>https://goo.gl/maps/rZvKjjEqY9Xt6o5G9</t>
  </si>
  <si>
    <t>https://goo.gl/maps/rPeLFnredUUaY7eJ9</t>
  </si>
  <si>
    <t>https://goo.gl/maps/n3NbFu4oRszsyWFQ6</t>
  </si>
  <si>
    <t>PIJ0191</t>
  </si>
  <si>
    <t>https://goo.gl/maps/d2n44FZCzwjXS5QR9</t>
  </si>
  <si>
    <t>PIJ0217</t>
  </si>
  <si>
    <t>https://goo.gl/maps/EzaDntXfR29Z9yzM7</t>
  </si>
  <si>
    <t>PIJ0175</t>
  </si>
  <si>
    <t>https://goo.gl/maps/6okgDHVeDiUjn72V7</t>
  </si>
  <si>
    <t>https://goo.gl/maps/MajP2iy3H34HAGbK8</t>
  </si>
  <si>
    <t>https://goo.gl/maps/uXpRxVn9XQoWBB3j6</t>
  </si>
  <si>
    <t>PIJ0288</t>
  </si>
  <si>
    <t>PIJ0289</t>
  </si>
  <si>
    <t>PIJ0290</t>
  </si>
  <si>
    <t>PIJ0291</t>
  </si>
  <si>
    <t>PIJ0292</t>
  </si>
  <si>
    <t>PIJ0293</t>
  </si>
  <si>
    <t>PIJ0294</t>
  </si>
  <si>
    <t>PIJ0295</t>
  </si>
  <si>
    <t>PIJ0296</t>
  </si>
  <si>
    <t>PIJ0297</t>
  </si>
  <si>
    <t>Ultrasonido CS-24</t>
  </si>
  <si>
    <t>PIJ0256</t>
  </si>
  <si>
    <t>https://goo.gl/maps/wUgySRqXR9tcnV3x5</t>
  </si>
  <si>
    <t>https://goo.gl/maps/uxEcEB7EZs1Smbqv7</t>
  </si>
  <si>
    <t>PIJ0282</t>
  </si>
  <si>
    <t>https://goo.gl/maps/LzvyXauJDyfjz3F26</t>
  </si>
  <si>
    <t>https://goo.gl/maps/fwFEreuz5Bb7UBHk8</t>
  </si>
  <si>
    <t>https://goo.gl/maps/t1fXR8UPqjmZ7n4s8</t>
  </si>
  <si>
    <t>https://goo.gl/maps/RypMQxQJA2Bcna197</t>
  </si>
  <si>
    <t>https://goo.gl/maps/f5caGjyhCdvH8QzK6</t>
  </si>
  <si>
    <t>https://goo.gl/maps/NTx4EoeZ6zgvXdWdA</t>
  </si>
  <si>
    <t>PIJ0194</t>
  </si>
  <si>
    <t>PIJ0245</t>
  </si>
  <si>
    <t>https://goo.gl/maps/jxZmxSfNpcZpydRE7</t>
  </si>
  <si>
    <t>Vorias 6</t>
  </si>
  <si>
    <t>https://goo.gl/maps/7Gn9b7dVAgsFXDyeA</t>
  </si>
  <si>
    <t>https://goo.gl/maps/7evJwDpywDCf5Ki29</t>
  </si>
  <si>
    <t>https://goo.gl/maps/z5RgC114UMBaNYfJ6</t>
  </si>
  <si>
    <t>https://goo.gl/maps/rF51X4vumxUgngsg6</t>
  </si>
  <si>
    <t>https://goo.gl/maps/xhxQmu5wMQoVocdD6</t>
  </si>
  <si>
    <t>https://goo.gl/maps/U1sxUK4xWzUeoaZr9</t>
  </si>
  <si>
    <t>https://goo.gl/maps/bTmri8DjAoAdS74W8</t>
  </si>
  <si>
    <t>Vorias 88</t>
  </si>
  <si>
    <t>https://goo.gl/maps/Za9Ja66NnDcjNDvK9</t>
  </si>
  <si>
    <t>https://goo.gl/maps/wYQpZ1ngEqpgLiUb7</t>
  </si>
  <si>
    <t>https://goo.gl/maps/4eFNHUDutNha2vcH6</t>
  </si>
  <si>
    <t>https://goo.gl/maps/jczbqiCHFzy9WwS9A</t>
  </si>
  <si>
    <t>https://goo.gl/maps/yk9rQuC2SMd8RMxc8</t>
  </si>
  <si>
    <t>https://goo.gl/maps/QtjwxU5NzFs5sCYY8</t>
  </si>
  <si>
    <t>PIJ0300</t>
  </si>
  <si>
    <t>PIJ0301</t>
  </si>
  <si>
    <t>https://goo.gl/maps/94eFYwBZnWuiQMB5A</t>
  </si>
  <si>
    <t>PIJ0207</t>
  </si>
  <si>
    <t>https://goo.gl/maps/RvUC7AvrczFeWGMe7</t>
  </si>
  <si>
    <t>https://goo.gl/maps/1XxoxTevi8iEwqap8</t>
  </si>
  <si>
    <t>https://goo.gl/maps/7P1guqwnR6qVfeKs6</t>
  </si>
  <si>
    <t>PIJ0118</t>
  </si>
  <si>
    <t>https://goo.gl/maps/rcMtEA8vKR6RMXio7</t>
  </si>
  <si>
    <t>https://goo.gl/maps/SMtz6WErLWzngsjg9</t>
  </si>
  <si>
    <t>PIJ0247</t>
  </si>
  <si>
    <t>https://goo.gl/maps/Qmar7brWW2jaKQcw8</t>
  </si>
  <si>
    <t>PIJ0263</t>
  </si>
  <si>
    <t>https://goo.gl/maps/Web23Vy9C76BpeSt6</t>
  </si>
  <si>
    <t>https://goo.gl/maps/RjkR3cnx6J1zZEnm9</t>
  </si>
  <si>
    <t>https://goo.gl/maps/CdmiVcZzbSucGs2D9</t>
  </si>
  <si>
    <t>https://goo.gl/maps/b3THj8HRSz3qW1f88</t>
  </si>
  <si>
    <t>https://goo.gl/maps/c1vy7jUFqWNLCsRc8</t>
  </si>
  <si>
    <t>https://goo.gl/maps/NvJCvEg8Xxx14KhL7</t>
  </si>
  <si>
    <t xml:space="preserve">https://goo.gl/maps/8nwuXCVbJfZ6EvS7A </t>
  </si>
  <si>
    <t>https://goo.gl/maps/1qfW2sRcX5YuVAc57</t>
  </si>
  <si>
    <t>PIJ0170</t>
  </si>
  <si>
    <t>https://goo.gl/maps/AXcqQMWJVq9of7M78</t>
  </si>
  <si>
    <t>https://goo.gl/maps/vtTDqBeq2Mm2FEP1A</t>
  </si>
  <si>
    <t>Universal 100</t>
  </si>
  <si>
    <t>https://goo.gl/maps/UwsUXvihRSTb5gA59</t>
  </si>
  <si>
    <t>https://goo.gl/maps/3bMZ2YgbwdoUKHBb7</t>
  </si>
  <si>
    <t>https://goo.gl/maps/DY2QxMctqAUuTh8R6</t>
  </si>
  <si>
    <t>https://goo.gl/maps/ePpwkifR6SUsW4V58</t>
  </si>
  <si>
    <t>Drosia 100 Doble</t>
  </si>
  <si>
    <t>https://goo.gl/maps/5PsxmX1Wdb8LAGD6A</t>
  </si>
  <si>
    <t>https://goo.gl/maps/PbYVVzhzxmawn8Vw5</t>
  </si>
  <si>
    <t>PIJ0276</t>
  </si>
  <si>
    <t>PIJ0277</t>
  </si>
  <si>
    <t>PIJ0169</t>
  </si>
  <si>
    <t>https://goo.gl/maps/dSJSWuFWQrm83tBe7</t>
  </si>
  <si>
    <t>https://goo.gl/maps/eE9cMfL5PaUP7wfq5</t>
  </si>
  <si>
    <t>PIJ0252</t>
  </si>
  <si>
    <t>https://goo.gl/maps/B5a5QuBK3tsrZGZp7</t>
  </si>
  <si>
    <t>https://goo.gl/maps/k8Y41HqTsyHkdbeU9</t>
  </si>
  <si>
    <t>https://goo.gl/maps/kpUCmqdGzR3z612f8</t>
  </si>
  <si>
    <t>https://goo.gl/maps/BZwVrtm56sWviJ2G8</t>
  </si>
  <si>
    <t>Aviga 36DC</t>
  </si>
  <si>
    <t>https://g.page/jumbo-kennedy?share</t>
  </si>
  <si>
    <t>https://goo.gl/maps/ahopESrGwqw6gLEt8</t>
  </si>
  <si>
    <t>https://goo.gl/maps/oJbArq56xjzjR3ep7</t>
  </si>
  <si>
    <t>https://goo.gl/maps/BZTyEzbfAdm6vu167</t>
  </si>
  <si>
    <t>https://goo.gl/maps/xUs3y7yQ2vfFJ9q48</t>
  </si>
  <si>
    <t>Drosia 30</t>
  </si>
  <si>
    <t>https://goo.gl/maps/MiNwYxrRztqf7UuG9</t>
  </si>
  <si>
    <t>PIJ0222</t>
  </si>
  <si>
    <t>PIJ0259</t>
  </si>
  <si>
    <t>https://goo.gl/maps/PpNmvLp6tjkCos1z7</t>
  </si>
  <si>
    <t>https://goo.gl/maps/ybftM2QJJ2otTnph7</t>
  </si>
  <si>
    <t>PIJ0273</t>
  </si>
  <si>
    <t>https://goo.gl/maps/ijd5qKHC4HTxGGvo9</t>
  </si>
  <si>
    <t>https://goo.gl/maps/cgoGEdLFY9XP1Zgy8</t>
  </si>
  <si>
    <t>PIJ0255</t>
  </si>
  <si>
    <t>https://goo.gl/maps/v9Sd5TspW8friKCE6</t>
  </si>
  <si>
    <t>https://goo.gl/maps/2SXX3bEiMtmMh4QSA</t>
  </si>
  <si>
    <t>https://goo.gl/maps/wZkGsE59Zwp2PNL57</t>
  </si>
  <si>
    <t>PIJ0197</t>
  </si>
  <si>
    <t>https://goo.gl/maps/eux7ckVzT16u1cop7</t>
  </si>
  <si>
    <t>https://goo.gl/maps/brKp7gKrLL1aJpKD8</t>
  </si>
  <si>
    <t>https://goo.gl/maps/3eRK8i86eDFcs5M77</t>
  </si>
  <si>
    <t>https://g.page/jumbo-portal-la-reina?share</t>
  </si>
  <si>
    <t>https://g.page/jumbo-la-dehesa?share</t>
  </si>
  <si>
    <t>https://g.page/jumbo-costanera?share</t>
  </si>
  <si>
    <t>https://goo.gl/maps/TYCAh4aqfAaa15ca8</t>
  </si>
  <si>
    <t>https://goo.gl/maps/kxPhtxvp6y4oonUE9</t>
  </si>
  <si>
    <t>PIJ0278</t>
  </si>
  <si>
    <t>https://goo.gl/maps/vesT5BbfFkom45C39</t>
  </si>
  <si>
    <t>https://goo.gl/maps/q6mGbuQwGGJxqNEF9</t>
  </si>
  <si>
    <t>https://goo.gl/maps/3VRi1LAm3qXwhKHN8</t>
  </si>
  <si>
    <t>https://goo.gl/maps/k9Pvh31JipiS8RDk7</t>
  </si>
  <si>
    <t>https://goo.gl/maps/mkAkVBBAtJDPHcfL7</t>
  </si>
  <si>
    <t>PIJ0122</t>
  </si>
  <si>
    <t>https://goo.gl/maps/rG97SHSNRfEJpkmN7</t>
  </si>
  <si>
    <t>https://goo.gl/maps/RmF6ZumDYivmPfEe7</t>
  </si>
  <si>
    <t xml:space="preserve"> H6</t>
  </si>
  <si>
    <t>https://goo.gl/maps/362BHDCPaceASevN7</t>
  </si>
  <si>
    <t>https://goo.gl/maps/ydXppC4CwaCRHAwL6</t>
  </si>
  <si>
    <t>https://goo.gl/maps/d28sLpp6pqzjJvhA6</t>
  </si>
  <si>
    <t>PIJ0281</t>
  </si>
  <si>
    <t>https://goo.gl/maps/uDz8JRVbrYm6WnYr6</t>
  </si>
  <si>
    <t xml:space="preserve">https://goo.gl/maps/9PD7Znr4TPWX365d6 </t>
  </si>
  <si>
    <t>https://goo.gl/maps/zLtzpLGNuDAzQqq66</t>
  </si>
  <si>
    <t>https://goo.gl/maps/mdNAeXwGjxTeE43W6</t>
  </si>
  <si>
    <t>PIJ0198</t>
  </si>
  <si>
    <t xml:space="preserve">https://goo.gl/maps/EkDSfFm5e5Z7Nm8h6 </t>
  </si>
  <si>
    <t>PIJ0184</t>
  </si>
  <si>
    <t>https://goo.gl/maps/E1qcn377v5NtqMbD9</t>
  </si>
  <si>
    <t>https://goo.gl/maps/QXHqGs48hiEaxwqa9</t>
  </si>
  <si>
    <t>https://goo.gl/maps/yrhpyQRs4U7C3AnV9</t>
  </si>
  <si>
    <t>https://goo.gl/maps/VGV1nrxuatvMrisz6</t>
  </si>
  <si>
    <t>PIJ0244</t>
  </si>
  <si>
    <t>https://goo.gl/maps/WkBczNiTTeAjY7H58</t>
  </si>
  <si>
    <t>https://goo.gl/maps/8opqfGW3J44QmMAa9</t>
  </si>
  <si>
    <t>https://goo.gl/maps/T7LH7bf87X6bzKUB7</t>
  </si>
  <si>
    <t>PIJ0262</t>
  </si>
  <si>
    <t>https://goo.gl/maps/ENoRwMsPg28R8qAd6</t>
  </si>
  <si>
    <t>PIJ0258</t>
  </si>
  <si>
    <t>https://goo.gl/maps/aZSNKC62KnZbz1s6A</t>
  </si>
  <si>
    <t>https://goo.gl/maps/bkzAEmcPiYmgWpZKA</t>
  </si>
  <si>
    <t>https://goo.gl/maps/jFfNmsPQEQadx3Su7</t>
  </si>
  <si>
    <t>PIJ0248</t>
  </si>
  <si>
    <t>https://goo.gl/maps/L44UiZn2KxKFonNt9</t>
  </si>
  <si>
    <t>https://goo.gl/maps/mp7dh2S4smt6nqebA</t>
  </si>
  <si>
    <t>PIJ0183</t>
  </si>
  <si>
    <t>https://goo.gl/maps/AXAAEN3nmHCMiWwp9</t>
  </si>
  <si>
    <t>https://goo.gl/maps/3s9hspAafyA3NCZP9</t>
  </si>
  <si>
    <t>PIJ0306</t>
  </si>
  <si>
    <t>https://goo.gl/maps/wdBbKEd2SER5iMW6A</t>
  </si>
  <si>
    <t>https://goo.gl/maps/GbM7EeE5HV1wXfpZ7</t>
  </si>
  <si>
    <t>https://goo.gl/maps/j8F1dJq9pMQW8p8F8</t>
  </si>
  <si>
    <t>https://goo.gl/maps/TXGZ7zmzB1m4dcjm7</t>
  </si>
  <si>
    <t>PIJ0148</t>
  </si>
  <si>
    <t>https://goo.gl/maps/HHrVfxnpexFjQvq27</t>
  </si>
  <si>
    <t>PIJ0167</t>
  </si>
  <si>
    <t>https://goo.gl/maps/15UwNDdV1L9ESKtx9</t>
  </si>
  <si>
    <t>https://goo.gl/maps/4fe5phnVfNyE9uJK7</t>
  </si>
  <si>
    <t>https://goo.gl/maps/pzuyWeoF7sqHHM4h9</t>
  </si>
  <si>
    <t>https://goo.gl/maps/RAjDPBDhSatkiThT6</t>
  </si>
  <si>
    <t>https://goo.gl/maps/zXe1SVAeWGGcQ3ts9</t>
  </si>
  <si>
    <t>https://goo.gl/maps/LGzKWMgLisCoe1VN9</t>
  </si>
  <si>
    <t>https://goo.gl/maps/N58sGZyqdg2c1guR8</t>
  </si>
  <si>
    <t>https://goo.gl/maps/xY1GTv5Yv581z9Jw9</t>
  </si>
  <si>
    <t>https://goo.gl/maps/rGXQLtsG82ZsWVgs7</t>
  </si>
  <si>
    <t>https://goo.gl/maps/tyKdSPLJa6ApNW5U8</t>
  </si>
  <si>
    <t>https://goo.gl/maps/JirTPpeaqa4nzDUV6</t>
  </si>
  <si>
    <t>https://goo.gl/maps/ZKB6uvZXbM1Q1bxZ6</t>
  </si>
  <si>
    <t>PIJ0284</t>
  </si>
  <si>
    <t>https://goo.gl/maps/L3vCJAvB257dQouF9</t>
  </si>
  <si>
    <t>https://goo.gl/maps/49eRoZQ2DiDYLkaG7</t>
  </si>
  <si>
    <t>https://goo.gl/maps/B15xt2zjjGzfpDtp7</t>
  </si>
  <si>
    <t>https://goo.gl/maps/f9CaGvyrtuF5aE519</t>
  </si>
  <si>
    <t>https://goo.gl/maps/mFNK6b3UtCWHJfYP9</t>
  </si>
  <si>
    <t>https://goo.gl/maps/Y278BzqrZ6wqKhqz7</t>
  </si>
  <si>
    <t>https://goo.gl/maps/qdoDkPTEN8KNQKqd8</t>
  </si>
  <si>
    <t>PIJ0187</t>
  </si>
  <si>
    <t>https://goo.gl/maps/nSsyECmyAzxRvGvh6</t>
  </si>
  <si>
    <t>https://goo.gl/maps/76oi8ugxTtu2DGJh8</t>
  </si>
  <si>
    <t>https://goo.gl/maps/9dcEkdiPeXM6sNCN8</t>
  </si>
  <si>
    <t>https://goo.gl/maps/8JJP3EwYsb3bGEd18</t>
  </si>
  <si>
    <t>https://goo.gl/maps/LXZpNzaFRxgUPjtY7</t>
  </si>
  <si>
    <t>https://goo.gl/maps/kY6LcvLSzTXHTLAf9</t>
  </si>
  <si>
    <t>https://goo.gl/maps/gHFseFJcAS8TPUGf8</t>
  </si>
  <si>
    <t>https://goo.gl/maps/dNGHXwuoYMYEw6pj6</t>
  </si>
  <si>
    <t>Atomaiser 24</t>
  </si>
  <si>
    <t>https://goo.gl/maps/z9LrLomhWSDinJb38</t>
  </si>
  <si>
    <t>https://goo.gl/maps/zddT5nzMmRL34YJ49</t>
  </si>
  <si>
    <t>https://goo.gl/maps/j54tseYYKxpsLU8S6</t>
  </si>
  <si>
    <t>https://goo.gl/maps/RzKPanfzTNR9WGhDA</t>
  </si>
  <si>
    <t xml:space="preserve">https://goo.gl/maps/kFzJdgoqr9mFaNip7 </t>
  </si>
  <si>
    <t>https://goo.gl/maps/Xu9SAWMLPtu5WEMC8</t>
  </si>
  <si>
    <t>https://goo.gl/maps/f5ZpNnCbvdTDWtCp8</t>
  </si>
  <si>
    <t>https://goo.gl/maps/acX3ss2nF4KSPqRH7</t>
  </si>
  <si>
    <t>https://goo.gl/maps/VyPayacxqQhDJxmn9</t>
  </si>
  <si>
    <t>https://goo.gl/maps/Y3HWsK9P38ejeDfW9</t>
  </si>
  <si>
    <t>Aqua Room 8</t>
  </si>
  <si>
    <t>https://goo.gl/maps/xyNcfZvaJdTKJt5n8</t>
  </si>
  <si>
    <t>https://goo.gl/maps/rjD1uqDtwsQH3id4A</t>
  </si>
  <si>
    <t>https://goo.gl/maps/8juuNbXTYZPs3keq7</t>
  </si>
  <si>
    <t>https://goo.gl/maps/g7pLZ1frobt68MKS9</t>
  </si>
  <si>
    <t>https://goo.gl/maps/LTdKub5fHmGDFddB9</t>
  </si>
  <si>
    <t>https://goo.gl/maps/3eYaGh4yi8CRoam76</t>
  </si>
  <si>
    <t>PIJ0254</t>
  </si>
  <si>
    <t>PIJ0196</t>
  </si>
  <si>
    <t>https://goo.gl/maps/3oko294r2oSyXB3CA</t>
  </si>
  <si>
    <t>PIJ0275</t>
  </si>
  <si>
    <t>PIJ0012</t>
  </si>
  <si>
    <t>PIJ0165</t>
  </si>
  <si>
    <t>PIJ0109</t>
  </si>
  <si>
    <t xml:space="preserve">PIEZAS UTILIZADAS </t>
  </si>
  <si>
    <t>PPM Agua</t>
  </si>
  <si>
    <t>Venta Repuestos</t>
  </si>
  <si>
    <t xml:space="preserve">Agricola Agua Santa Limitada </t>
  </si>
  <si>
    <t xml:space="preserve">Agricola Alci SPA </t>
  </si>
  <si>
    <t xml:space="preserve">Agricola Ba Farms Spa </t>
  </si>
  <si>
    <t>Agricola CV SPA (Quinta)</t>
  </si>
  <si>
    <t>Agricola CV SPA (Walpon)</t>
  </si>
  <si>
    <t xml:space="preserve">Agricola El Condor De Apalta Limitada </t>
  </si>
  <si>
    <t>Agricola Frutasol Chile S.A</t>
  </si>
  <si>
    <t>Agricola Georuca SPA</t>
  </si>
  <si>
    <t xml:space="preserve">Agricola La Rigada SPA </t>
  </si>
  <si>
    <t xml:space="preserve">Agricola La Torina Spa </t>
  </si>
  <si>
    <t>Agricola Matriz Limitada</t>
  </si>
  <si>
    <t xml:space="preserve">Agricola Pacifico Sur Chile Spa </t>
  </si>
  <si>
    <t>Agricola Pro Frutal Ltda</t>
  </si>
  <si>
    <t>Agricola San Pio Limitada</t>
  </si>
  <si>
    <t xml:space="preserve">Agricola Tres Maria Limitada </t>
  </si>
  <si>
    <t>Agricola Villaseca Limitada</t>
  </si>
  <si>
    <t>Agricola Y Forestal Vista Volcan LTDA</t>
  </si>
  <si>
    <t xml:space="preserve">Agroindustrial Los Bronces Limitada </t>
  </si>
  <si>
    <t xml:space="preserve">Agroindutrial Veal SPA </t>
  </si>
  <si>
    <t xml:space="preserve">Avellanos Bio Bio SPA </t>
  </si>
  <si>
    <t xml:space="preserve">Central Fruticola San Luis Limitada </t>
  </si>
  <si>
    <t>Exportadora Idahue Chile SA</t>
  </si>
  <si>
    <t>Marcela Patricia Villalobos Parraro (Cherry Group)</t>
  </si>
  <si>
    <t>Multifruta SA - Planta Fátima</t>
  </si>
  <si>
    <t>Multifruta SA - Planta Linderos</t>
  </si>
  <si>
    <t>PURAFRUIT COMPANY</t>
  </si>
  <si>
    <t xml:space="preserve">PURAFRUIT COMPANY </t>
  </si>
  <si>
    <t xml:space="preserve">Ramon Achurra Y Compañía Spa </t>
  </si>
  <si>
    <t>Soc Agricola Ganadera y Forestal Mataquito LTDA</t>
  </si>
  <si>
    <t xml:space="preserve">Sociedad Agricola Socoin Spa </t>
  </si>
  <si>
    <t xml:space="preserve">Sociedad Exportadora Verfruit Spa </t>
  </si>
  <si>
    <t>PIJ0348</t>
  </si>
  <si>
    <t>PIJ0326</t>
  </si>
  <si>
    <t>PIJ0337</t>
  </si>
  <si>
    <t>PIJ0190</t>
  </si>
  <si>
    <t>PIJ0224</t>
  </si>
  <si>
    <t>PIJ0325</t>
  </si>
  <si>
    <t>PIJ0345</t>
  </si>
  <si>
    <t>PIJ0112</t>
  </si>
  <si>
    <t>PIJ0310</t>
  </si>
  <si>
    <t>PIJ0322</t>
  </si>
  <si>
    <t>PIJ0328</t>
  </si>
  <si>
    <t>PiJ0059</t>
  </si>
  <si>
    <t>PiJ0068</t>
  </si>
  <si>
    <t>PIJ0339</t>
  </si>
  <si>
    <t>PIJ0318</t>
  </si>
  <si>
    <t>PiJ0054</t>
  </si>
  <si>
    <t>PiJ0001</t>
  </si>
  <si>
    <t>PiJ0044</t>
  </si>
  <si>
    <t>PIJ0335</t>
  </si>
  <si>
    <t>PIJ0324</t>
  </si>
  <si>
    <t>PIJ0334</t>
  </si>
  <si>
    <t>PiJ0031</t>
  </si>
  <si>
    <t>PiJ0011</t>
  </si>
  <si>
    <t>PiJ0034</t>
  </si>
  <si>
    <t>PiJ0063</t>
  </si>
  <si>
    <t>PIJ0253</t>
  </si>
  <si>
    <t>PIJ0323</t>
  </si>
  <si>
    <t>PiJ0026</t>
  </si>
  <si>
    <t>PIJ0113</t>
  </si>
  <si>
    <t>PiJ0032</t>
  </si>
  <si>
    <t>PiJ0049</t>
  </si>
  <si>
    <t>PiJ0024</t>
  </si>
  <si>
    <t>PIJ0246</t>
  </si>
  <si>
    <t>PiJ0046</t>
  </si>
  <si>
    <t>PIJ0286</t>
  </si>
  <si>
    <t>PIJ0331</t>
  </si>
  <si>
    <t>PiJ0028</t>
  </si>
  <si>
    <t>PiJ0040</t>
  </si>
  <si>
    <t>PiJ0065</t>
  </si>
  <si>
    <t>PiJ0066</t>
  </si>
  <si>
    <t>PIJ0287</t>
  </si>
  <si>
    <t>PIJ0164</t>
  </si>
  <si>
    <t>PiJ0052</t>
  </si>
  <si>
    <t>PIJ0319</t>
  </si>
  <si>
    <t>PiJ0029</t>
  </si>
  <si>
    <t>PiJ0053</t>
  </si>
  <si>
    <t>PiJ0027</t>
  </si>
  <si>
    <t>PiJ0008</t>
  </si>
  <si>
    <t>PiJ0015</t>
  </si>
  <si>
    <t>PiJ0030</t>
  </si>
  <si>
    <t>PiJ0120</t>
  </si>
  <si>
    <t>PIJ0279</t>
  </si>
  <si>
    <t>PIJ0251</t>
  </si>
  <si>
    <t>PIJ0340</t>
  </si>
  <si>
    <t>PIJ0106</t>
  </si>
  <si>
    <t>PIJ0330</t>
  </si>
  <si>
    <t>PiJ0021</t>
  </si>
  <si>
    <t>PIJ0341</t>
  </si>
  <si>
    <t>PIJ0317</t>
  </si>
  <si>
    <t>PIJ0311</t>
  </si>
  <si>
    <t>PIJ0315</t>
  </si>
  <si>
    <t>PiJ0071</t>
  </si>
  <si>
    <t>PiJ00104</t>
  </si>
  <si>
    <t>PIJ0188</t>
  </si>
  <si>
    <t>PiJ0043</t>
  </si>
  <si>
    <t>PIJ0280</t>
  </si>
  <si>
    <t>PIJ0302</t>
  </si>
  <si>
    <t>PiJ0004</t>
  </si>
  <si>
    <t>PiJ0025</t>
  </si>
  <si>
    <t>PIJ0186</t>
  </si>
  <si>
    <t>PiJ0050</t>
  </si>
  <si>
    <t>PiJ0069</t>
  </si>
  <si>
    <t>PiJ0070</t>
  </si>
  <si>
    <t>PIJ0329</t>
  </si>
  <si>
    <t>PIJ0333</t>
  </si>
  <si>
    <t>PIJ0215</t>
  </si>
  <si>
    <t>PiJ0007</t>
  </si>
  <si>
    <t>PiJ0035</t>
  </si>
  <si>
    <t>PiJ0048</t>
  </si>
  <si>
    <t>PiJ0016</t>
  </si>
  <si>
    <t>PiJ0017</t>
  </si>
  <si>
    <t>PiJ0018</t>
  </si>
  <si>
    <t>PiJ0019</t>
  </si>
  <si>
    <t>PiJ0020</t>
  </si>
  <si>
    <t>PiJ0056</t>
  </si>
  <si>
    <t>PiJ0045</t>
  </si>
  <si>
    <t>PiJ0039</t>
  </si>
  <si>
    <t>PiJ0062</t>
  </si>
  <si>
    <t>PIJ0199</t>
  </si>
  <si>
    <t>PiJ0060</t>
  </si>
  <si>
    <t>PiJ0064</t>
  </si>
  <si>
    <t>PiJ0003</t>
  </si>
  <si>
    <t>PiJ0005</t>
  </si>
  <si>
    <t>PiJ0006</t>
  </si>
  <si>
    <t>PiJ0010</t>
  </si>
  <si>
    <t>PiJ0002</t>
  </si>
  <si>
    <t>PiJ0023</t>
  </si>
  <si>
    <t>PiJ0009</t>
  </si>
  <si>
    <t>PiJ0014</t>
  </si>
  <si>
    <t>PiJ0036</t>
  </si>
  <si>
    <t>PiJ0047</t>
  </si>
  <si>
    <t>PiJ0055</t>
  </si>
  <si>
    <t>PiJ0067</t>
  </si>
  <si>
    <t>PIJ0195</t>
  </si>
  <si>
    <t>PIJ0265</t>
  </si>
  <si>
    <t>PIJ0321</t>
  </si>
  <si>
    <t>PIJ0236</t>
  </si>
  <si>
    <t>PiJ0057</t>
  </si>
  <si>
    <t>PiJ0266</t>
  </si>
  <si>
    <t>PiJ0033</t>
  </si>
  <si>
    <t>PIJ0327</t>
  </si>
  <si>
    <t>PiJ0061</t>
  </si>
  <si>
    <t>PIJ0285</t>
  </si>
  <si>
    <t>PiJ0051</t>
  </si>
  <si>
    <t>PiJ0058</t>
  </si>
  <si>
    <t>PIJ0336</t>
  </si>
  <si>
    <t>77821370-2</t>
  </si>
  <si>
    <t>78832370-0</t>
  </si>
  <si>
    <t>76582640-3</t>
  </si>
  <si>
    <t>77438304-2</t>
  </si>
  <si>
    <t>76274078-8</t>
  </si>
  <si>
    <t>96972580-0</t>
  </si>
  <si>
    <t>76165581-7</t>
  </si>
  <si>
    <t>76951536-4</t>
  </si>
  <si>
    <t>78058760-1</t>
  </si>
  <si>
    <t>77133772-4</t>
  </si>
  <si>
    <t>76378560-2</t>
  </si>
  <si>
    <t>77063483-0</t>
  </si>
  <si>
    <t>77568588-3</t>
  </si>
  <si>
    <t>76330140-0</t>
  </si>
  <si>
    <t>77094287-k</t>
  </si>
  <si>
    <t>76140220-k</t>
  </si>
  <si>
    <t>77214195-5</t>
  </si>
  <si>
    <t xml:space="preserve"> 78066780-k</t>
  </si>
  <si>
    <t>76783096-3</t>
  </si>
  <si>
    <t>76875560-4</t>
  </si>
  <si>
    <t>78631830-0</t>
  </si>
  <si>
    <t>78631830-1</t>
  </si>
  <si>
    <t>76448895-4</t>
  </si>
  <si>
    <t>78297290-1</t>
  </si>
  <si>
    <t>77290950-0</t>
  </si>
  <si>
    <t>76918170-9</t>
  </si>
  <si>
    <t>79936380-1</t>
  </si>
  <si>
    <t>10.395.710-9</t>
  </si>
  <si>
    <t>78183610-9</t>
  </si>
  <si>
    <t>78113660-3</t>
  </si>
  <si>
    <t>76272745-5</t>
  </si>
  <si>
    <t>76097084-0</t>
  </si>
  <si>
    <t>78029510-4</t>
  </si>
  <si>
    <t xml:space="preserve">Coltauco, VI Region </t>
  </si>
  <si>
    <t xml:space="preserve">Peumo, VI Region </t>
  </si>
  <si>
    <t xml:space="preserve">Pichidegua, VI Region </t>
  </si>
  <si>
    <t xml:space="preserve">Pencahue, VII Region </t>
  </si>
  <si>
    <t xml:space="preserve">Gorbea, IX Region </t>
  </si>
  <si>
    <t>Cura Mori, Perú</t>
  </si>
  <si>
    <t>Pelarco, VII Region</t>
  </si>
  <si>
    <t>https://maps.app.goo.gl/4VgFcky1qWWWBPwL6</t>
  </si>
  <si>
    <t>https://maps.app.goo.gl/3VbjuAP8De7sFwBk7</t>
  </si>
  <si>
    <t>https://maps.app.goo.gl/mJHK9HBXjkjdxx5g8</t>
  </si>
  <si>
    <t>https://maps.app.goo.gl/fgiSW2nin2cyeR7k6</t>
  </si>
  <si>
    <t>https://maps.app.goo.gl/Z1hrqBaBDHnbSvEF7</t>
  </si>
  <si>
    <t>https://maps.app.goo.gl/XkoTjGNCzsVnkFsF9</t>
  </si>
  <si>
    <t>https://maps.app.goo.gl/zHsY3LnTuTqe1vp9A</t>
  </si>
  <si>
    <t>https://maps.app.goo.gl/BBkhU5BzCy2tkUs58</t>
  </si>
  <si>
    <t>https://maps.app.goo.gl/F1WQocT1L51XQgqc9</t>
  </si>
  <si>
    <t>https://maps.app.goo.gl/X7DjZCbgTdsVRRGE7</t>
  </si>
  <si>
    <t>https://maps.app.goo.gl/fhdbotXG3tgSUE289</t>
  </si>
  <si>
    <t>https://maps.app.goo.gl/NB6yyowxNvN3g8Vm7</t>
  </si>
  <si>
    <t>https://maps.app.goo.gl/yeyodBe6KCZtmpeU9</t>
  </si>
  <si>
    <t>https://maps.app.goo.gl/GtPbotHSEqAJJheM6</t>
  </si>
  <si>
    <t>https://maps.app.goo.gl/ksYzg8RhUTHvkCe18</t>
  </si>
  <si>
    <t>https://maps.app.goo.gl/4UQarMt6n4ffFqFR6</t>
  </si>
  <si>
    <t>https://maps.app.goo.gl/VhQms5ZKudq8ahrP6</t>
  </si>
  <si>
    <t>https://maps.app.goo.gl/eFib3Vk2oN5BemrWA</t>
  </si>
  <si>
    <t>https://maps.app.goo.gl/GPkvLWoNMrGaffun8</t>
  </si>
  <si>
    <t>https://maps.app.goo.gl/VLe1HkiVMvpjPtGV6</t>
  </si>
  <si>
    <t>https://maps.app.goo.gl/7gp89yy2SiwRwYVWA</t>
  </si>
  <si>
    <t>https://maps.app.goo.gl/ANn1GAnj4Lp7iAAt6</t>
  </si>
  <si>
    <t>https://maps.app.goo.gl/HMUkhqBwjELsbhb59</t>
  </si>
  <si>
    <t>https://maps.app.goo.gl/PYuDx4DyXz4AJL478</t>
  </si>
  <si>
    <t>https://maps.app.goo.gl/S2CFMgtuCz7fEQyq9</t>
  </si>
  <si>
    <t>https://maps.app.goo.gl/QYxDjPCkw3jNXRNdA</t>
  </si>
  <si>
    <t>https://maps.app.goo.gl/17LCatsrwrgyV6SD6</t>
  </si>
  <si>
    <t>https://maps.app.goo.gl/3P5JnFyv4kryCRxy6</t>
  </si>
  <si>
    <t>https://maps.app.goo.gl/w9Nj8hsHQ6ACyLaZ9</t>
  </si>
  <si>
    <t>https://maps.app.goo.gl/KEfmfULHEGpZR8QY7</t>
  </si>
  <si>
    <t>https://maps.app.goo.gl/LUGCtfu2yqZ72uxDA</t>
  </si>
  <si>
    <t>https://maps.app.goo.gl/oEvKKYHrL7DHGiSv8</t>
  </si>
  <si>
    <t>https://maps.app.goo.gl/WZEtgQmhhepWVTS6A</t>
  </si>
  <si>
    <t>https://maps.app.goo.gl/FBD17Qkn5W5fDnMJA</t>
  </si>
  <si>
    <t>https://maps.app.goo.gl/yd9EfKgq8Gvvgmpe9</t>
  </si>
  <si>
    <t>https://maps.app.goo.gl/GZ98DdGU7WhrWo4v8</t>
  </si>
  <si>
    <t>https://goo.gl/maps/8sbeJx1BhNMqU95a9</t>
  </si>
  <si>
    <t>https://goo.gl/maps/PU1EGreuLskt5LVPA</t>
  </si>
  <si>
    <t>https://goo.gl/maps/f9LYRipF6V7CdxNQ9</t>
  </si>
  <si>
    <t>https://maps.app.goo.gl/gSdGm6gkETGwUoKi6</t>
  </si>
  <si>
    <t>https://goo.gl/maps/QiEo5oM8PxAydMn3A</t>
  </si>
  <si>
    <t>https://maps.app.goo.gl/ajwubs5DU7ZXLiJe6</t>
  </si>
  <si>
    <t>https://maps.app.goo.gl/NTFrPE6tGdvEUP3UA</t>
  </si>
  <si>
    <t>https://maps.app.goo.gl/3Rk4g4KgzLrxLeMY6</t>
  </si>
  <si>
    <t>https://maps.app.goo.gl/XrcPqqmDkucVC35a7</t>
  </si>
  <si>
    <t>https://maps.app.goo.gl/3vLLQyrx2XPhCkcX8</t>
  </si>
  <si>
    <t>https://goo.gl/maps/gjukDBHTqoeBxmuB7</t>
  </si>
  <si>
    <t>https://maps.app.goo.gl/JZyPnWM4Qu6KXkag6</t>
  </si>
  <si>
    <t>https://maps.app.goo.gl/JLEWJP2kmnSXvnoi9</t>
  </si>
  <si>
    <t>https://maps.app.goo.gl/JffuTRZGLkB4n9Hn6</t>
  </si>
  <si>
    <t>https://maps.app.goo.gl/QZVGCnncL1jafwk36</t>
  </si>
  <si>
    <t>https://maps.app.goo.gl/EGnzZsfEt2WaTmvSA</t>
  </si>
  <si>
    <t>https://maps.app.goo.gl/TA7frqWNBmzD9YFB8</t>
  </si>
  <si>
    <t>https://maps.app.goo.gl/yNBhn5uAdzygaA5x8</t>
  </si>
  <si>
    <t>https://maps.app.goo.gl/eQFviVSzFFfDumEB7</t>
  </si>
  <si>
    <t>https://goo.gl/maps/DMQnt7XY124Ki5So8</t>
  </si>
  <si>
    <t>https://goo.gl/maps/BsD8ELFRbJ6XFSWr9</t>
  </si>
  <si>
    <t>https://goo.gl/maps/AppMyLPUiN6BM5FbA</t>
  </si>
  <si>
    <t>https://maps.app.goo.gl/qs8sdSvzrAz2CsM87</t>
  </si>
  <si>
    <t>https://maps.app.goo.gl/9TgSKnMrK4epY5if7</t>
  </si>
  <si>
    <t>https://maps.app.goo.gl/YbFGwwG7CCiEEFrC7</t>
  </si>
  <si>
    <t>https://maps.app.goo.gl/KwVLGxjLWpxEHJ4fA</t>
  </si>
  <si>
    <t>https://maps.app.goo.gl/XBGgTaLJr9d43Yrd7</t>
  </si>
  <si>
    <t>https://maps.app.goo.gl/wbgnVg5s4qqDqh3n8</t>
  </si>
  <si>
    <t>https://maps.app.goo.gl/1EVXKGsKeQLVHedA6</t>
  </si>
  <si>
    <t>https://goo.gl/maps/22iQ7BUZh35eBQfY7</t>
  </si>
  <si>
    <t>https://maps.app.goo.gl/kontuxWNm88euiiX6</t>
  </si>
  <si>
    <t xml:space="preserve">H100 </t>
  </si>
  <si>
    <t>PP-0333</t>
  </si>
  <si>
    <t>PP-0331</t>
  </si>
  <si>
    <t>Codo HI HI 1"</t>
  </si>
  <si>
    <t>Ventilador DC 24V VN-4061</t>
  </si>
  <si>
    <t>Tensor Galvanizado 1/2</t>
  </si>
  <si>
    <t>Tipo</t>
  </si>
  <si>
    <t>Instalación</t>
  </si>
  <si>
    <t>D12</t>
  </si>
  <si>
    <t>Jesús Jara</t>
  </si>
  <si>
    <t>Reinstalación de líneas 100/120 boquillas</t>
  </si>
  <si>
    <t>Reinstalación de Líneas 150/170 boquillas</t>
  </si>
  <si>
    <t>URG-0001</t>
  </si>
  <si>
    <t>Servicio de Urgencia VI Región</t>
  </si>
  <si>
    <t>URG-0002</t>
  </si>
  <si>
    <t>URG-0003</t>
  </si>
  <si>
    <t>Servicio de Urgencia XVI y VIII Región</t>
  </si>
  <si>
    <t>URG-0004</t>
  </si>
  <si>
    <t>Servicio de Urgencia Zona Norte y Sur</t>
  </si>
  <si>
    <t>VIS-0001</t>
  </si>
  <si>
    <t>Visita VI Región</t>
  </si>
  <si>
    <t>VIS-0002</t>
  </si>
  <si>
    <t>VIS-0003</t>
  </si>
  <si>
    <t>Visita XVI y VIII Región</t>
  </si>
  <si>
    <t>VIS-0004</t>
  </si>
  <si>
    <t>Visita Zona Norte y Sur</t>
  </si>
  <si>
    <t>EQ-0007</t>
  </si>
  <si>
    <t>Equipo Drosia 12</t>
  </si>
  <si>
    <t>EQ-0003</t>
  </si>
  <si>
    <t>Equipo Sistema Desinfección</t>
  </si>
  <si>
    <t>EQ-0015</t>
  </si>
  <si>
    <t>Equipo Humidificador H50</t>
  </si>
  <si>
    <t>Equipo Humidificador H14</t>
  </si>
  <si>
    <t>Equipo Humidificador H100</t>
  </si>
  <si>
    <t>Equipo Humidificador H150</t>
  </si>
  <si>
    <t>Cargo:</t>
  </si>
  <si>
    <t xml:space="preserve">   Nombre #4</t>
  </si>
  <si>
    <t xml:space="preserve">   Nombre #5</t>
  </si>
  <si>
    <t xml:space="preserve">   Nombre #6</t>
  </si>
  <si>
    <t>Rut #4</t>
  </si>
  <si>
    <t>Rut #5</t>
  </si>
  <si>
    <t>Rut #6</t>
  </si>
  <si>
    <t>SET FOTOGRÁFICO</t>
  </si>
  <si>
    <t>Malloa, VI Región</t>
  </si>
  <si>
    <t>Planta</t>
  </si>
  <si>
    <t>Cereza</t>
  </si>
  <si>
    <t>https://maps.app.goo.gl/3afmffFc8VPjBPKc9</t>
  </si>
  <si>
    <t>https://maps.app.goo.gl/3afmffFc8VPjBPKc10</t>
  </si>
  <si>
    <t>https://maps.app.goo.gl/3afmffFc8VPjBPKc11</t>
  </si>
  <si>
    <t>https://maps.app.goo.gl/3afmffFc8VPjBPKc12</t>
  </si>
  <si>
    <t>Agricola  Wienberg</t>
  </si>
  <si>
    <t xml:space="preserve">Cereza </t>
  </si>
  <si>
    <t>Uva</t>
  </si>
  <si>
    <t>Agricola Canta Rana Limitada (El Toro)</t>
  </si>
  <si>
    <t xml:space="preserve">Agricola Coigue Grande Limitada </t>
  </si>
  <si>
    <t>76794130-7</t>
  </si>
  <si>
    <t>https://maps.app.goo.gl/9zrTf5avNyVutFE36</t>
  </si>
  <si>
    <t>https://maps.app.goo.gl/vbRBPiJWdQYwZ2jKA</t>
  </si>
  <si>
    <t>https://maps.app.goo.gl/29T7sVdcWQVcFEN47</t>
  </si>
  <si>
    <t xml:space="preserve">Planta </t>
  </si>
  <si>
    <t>76084186-2</t>
  </si>
  <si>
    <t>https://maps.app.goo.gl/WgCJB21Bn7KbMoZG9</t>
  </si>
  <si>
    <t>Cereza-Uva</t>
  </si>
  <si>
    <t>Agricola El Comino Limitada (Almahue)</t>
  </si>
  <si>
    <t>Klima Cool 800</t>
  </si>
  <si>
    <t>Vivero</t>
  </si>
  <si>
    <t xml:space="preserve">Agricola Huillinco SPA </t>
  </si>
  <si>
    <t>76594699-9</t>
  </si>
  <si>
    <t>https://maps.app.goo.gl/er1dm9UWnTA8Xtxi7</t>
  </si>
  <si>
    <t xml:space="preserve">Agricola La Bolsa </t>
  </si>
  <si>
    <t>76893947- 0</t>
  </si>
  <si>
    <t>77923488-6</t>
  </si>
  <si>
    <t>https://maps.app.goo.gl/nMqe6xvWgFRZYtvC6</t>
  </si>
  <si>
    <t>https://maps.app.goo.gl/qcHSvHMBBXc2Uibr5</t>
  </si>
  <si>
    <t>Agricola Nova (Bella Terra)</t>
  </si>
  <si>
    <t>Agrícola Nueva Esperanza</t>
  </si>
  <si>
    <t>Agricola Porvenir SpA</t>
  </si>
  <si>
    <t>76353364-6</t>
  </si>
  <si>
    <t>Cerdos</t>
  </si>
  <si>
    <t xml:space="preserve">Agricola Santa Paula de Polulo Limitada </t>
  </si>
  <si>
    <t>79541330-8</t>
  </si>
  <si>
    <t>Palta</t>
  </si>
  <si>
    <t>76.055.435-9</t>
  </si>
  <si>
    <t>https://maps.app.goo.gl/JqdAToy7ZVqMcvoC9</t>
  </si>
  <si>
    <t xml:space="preserve">Uva </t>
  </si>
  <si>
    <t xml:space="preserve">Agroindustrial y comercial Superfruit Limitada </t>
  </si>
  <si>
    <t>76088900-1</t>
  </si>
  <si>
    <t>https://maps.app.goo.gl/6xhXWGjji4MSK1Ej8</t>
  </si>
  <si>
    <t xml:space="preserve">Ciruela </t>
  </si>
  <si>
    <t>uva</t>
  </si>
  <si>
    <t>Agropecuaria Wapri (La Chispa)</t>
  </si>
  <si>
    <t>Rio Claro, VII Región</t>
  </si>
  <si>
    <t>Americo y Bruno Gioia Compania Ltda</t>
  </si>
  <si>
    <t>https://maps.app.goo.gl/n92kWSkMWL4eaNd18</t>
  </si>
  <si>
    <t>Andinexia (Ex Del Monte)</t>
  </si>
  <si>
    <t>Bulbos</t>
  </si>
  <si>
    <t>Huevos</t>
  </si>
  <si>
    <t>76763388-2</t>
  </si>
  <si>
    <t>Berris</t>
  </si>
  <si>
    <t>Castañas</t>
  </si>
  <si>
    <t>Supermercado</t>
  </si>
  <si>
    <t>Algodones</t>
  </si>
  <si>
    <t>Collipulli Red Soil S.A. (Sucesión Zúñiga Wachtendorff)</t>
  </si>
  <si>
    <t xml:space="preserve">Carne
</t>
  </si>
  <si>
    <t xml:space="preserve">Huevos </t>
  </si>
  <si>
    <t>Corchos</t>
  </si>
  <si>
    <t>Arandano</t>
  </si>
  <si>
    <t>Exportadora y Comercial Frigoberries SpA</t>
  </si>
  <si>
    <t>Linares, VII Región</t>
  </si>
  <si>
    <t>Faenadora Lo Miranda Agrosuper Digestor</t>
  </si>
  <si>
    <t>Digestores</t>
  </si>
  <si>
    <t>https://maps.app.goo.gl/hbTk2a4ptZ6N7oQU9</t>
  </si>
  <si>
    <t>Papas</t>
  </si>
  <si>
    <t>Frutícola del Huique SpA</t>
  </si>
  <si>
    <t>77244857-0</t>
  </si>
  <si>
    <t>https://maps.app.goo.gl/hYx5UVfZR4oLFLuDA</t>
  </si>
  <si>
    <t>Fruticola Jose Soler (Solfrut)</t>
  </si>
  <si>
    <t>Gaston Palma Valdovinos (Rucanahue)</t>
  </si>
  <si>
    <t>4550027-6</t>
  </si>
  <si>
    <t>https://maps.app.goo.gl/nvS48gruegr7AW2u5</t>
  </si>
  <si>
    <t>https://maps.app.goo.gl/5iYKyz8FieEz6F218</t>
  </si>
  <si>
    <t>Hortifrut Chile S.A</t>
  </si>
  <si>
    <t>99524450-0</t>
  </si>
  <si>
    <t>https://maps.app.goo.gl/zttSjZb5KLQ9StES9</t>
  </si>
  <si>
    <t>Ines Escobar S.A</t>
  </si>
  <si>
    <t>78297280-4</t>
  </si>
  <si>
    <t>https://maps.app.goo.gl/NKAvSVFQNk44t1by5</t>
  </si>
  <si>
    <t>76131183-2</t>
  </si>
  <si>
    <t>https://maps.app.goo.gl/u13n5BpXeiAWeruC9</t>
  </si>
  <si>
    <t>inmobiliaria Frusan S.A. (Chimbarongo)</t>
  </si>
  <si>
    <t>Restaurant</t>
  </si>
  <si>
    <t>omo</t>
  </si>
  <si>
    <t>Drosia 800</t>
  </si>
  <si>
    <t>Provagro Pack SpA</t>
  </si>
  <si>
    <t>77857788-1</t>
  </si>
  <si>
    <t>https://maps.app.goo.gl/6TaBc4f5Ght8ip9j7</t>
  </si>
  <si>
    <t>Rendic Hermanos S.A.</t>
  </si>
  <si>
    <t>https://maps.app.goo.gl/rQtiAJMgugkZTmrc9</t>
  </si>
  <si>
    <t>River Valley Fruit LLC</t>
  </si>
  <si>
    <t>https://maps.app.goo.gl/atCywA6KxJGPHcfU9</t>
  </si>
  <si>
    <t>https://maps.app.goo.gl/mXRxvcm3qPdsdEMc7</t>
  </si>
  <si>
    <t>Sociedad Agricola Puente Negro Limitada</t>
  </si>
  <si>
    <t>89854200-9</t>
  </si>
  <si>
    <t xml:space="preserve">Refigeracion condensadores </t>
  </si>
  <si>
    <t xml:space="preserve">k800 </t>
  </si>
  <si>
    <t>Ciruela</t>
  </si>
  <si>
    <t>Valles del Sur SpA (Agro Sabio)</t>
  </si>
  <si>
    <t>76923964-2</t>
  </si>
  <si>
    <t>Viña</t>
  </si>
  <si>
    <t>viña</t>
  </si>
  <si>
    <t>https://maps.app.goo.gl/QppfjMxAT9hYPe4N6</t>
  </si>
  <si>
    <t xml:space="preserve">Supermercado </t>
  </si>
  <si>
    <t xml:space="preserve">Aviga Plus </t>
  </si>
  <si>
    <t>PIJ0386</t>
  </si>
  <si>
    <t>PIJ0384</t>
  </si>
  <si>
    <t>PIJ0346</t>
  </si>
  <si>
    <t>PIJ0192</t>
  </si>
  <si>
    <t>PIJ0378</t>
  </si>
  <si>
    <t>PIJ0376</t>
  </si>
  <si>
    <t>PIJ0368</t>
  </si>
  <si>
    <t>PIJ0383</t>
  </si>
  <si>
    <t>PIJ0385</t>
  </si>
  <si>
    <t>PIJ0387</t>
  </si>
  <si>
    <t>PIJ0388</t>
  </si>
  <si>
    <t>PIJ0354</t>
  </si>
  <si>
    <t>PIJ0342</t>
  </si>
  <si>
    <t>PIJ0365</t>
  </si>
  <si>
    <t>PIJ0362</t>
  </si>
  <si>
    <t>PIJ0361</t>
  </si>
  <si>
    <t>PIJ0343</t>
  </si>
  <si>
    <t>PIJ0372</t>
  </si>
  <si>
    <t>PIJ0349</t>
  </si>
  <si>
    <t>PIJ0369</t>
  </si>
  <si>
    <t>PIJ0394</t>
  </si>
  <si>
    <t>PIJ0344</t>
  </si>
  <si>
    <t>PIJ0406</t>
  </si>
  <si>
    <t>PIJ0412</t>
  </si>
  <si>
    <t>PIJ0371</t>
  </si>
  <si>
    <t>PIJ0134</t>
  </si>
  <si>
    <t>PIJ0359</t>
  </si>
  <si>
    <t>PIJ0380</t>
  </si>
  <si>
    <t>PIJ0353</t>
  </si>
  <si>
    <t>PIJ0382</t>
  </si>
  <si>
    <t>PIJ0374</t>
  </si>
  <si>
    <t>PIJ0360</t>
  </si>
  <si>
    <t>PIJ0399</t>
  </si>
  <si>
    <t>PIJ0303</t>
  </si>
  <si>
    <t>PIJ0299</t>
  </si>
  <si>
    <t>PIJ0370</t>
  </si>
  <si>
    <t>PIJ0355</t>
  </si>
  <si>
    <t>PIJ0375</t>
  </si>
  <si>
    <t>PIJ0373</t>
  </si>
  <si>
    <t>PIJ0410</t>
  </si>
  <si>
    <t>PIJ0414</t>
  </si>
  <si>
    <t>PIJ0119</t>
  </si>
  <si>
    <t>PIJ0357</t>
  </si>
  <si>
    <t>PIJ0392</t>
  </si>
  <si>
    <t>PIJ0358</t>
  </si>
  <si>
    <t>PIJ0347</t>
  </si>
  <si>
    <t>PIJ0390</t>
  </si>
  <si>
    <t>PIJ0400</t>
  </si>
  <si>
    <t>PIJ0180</t>
  </si>
  <si>
    <t>PIJ0308</t>
  </si>
  <si>
    <t>PIJ0309</t>
  </si>
  <si>
    <t>PIJ0377</t>
  </si>
  <si>
    <t>PIJ0320</t>
  </si>
  <si>
    <t>PIJ0316</t>
  </si>
  <si>
    <t>PIJ0313</t>
  </si>
  <si>
    <t>PIJ0314</t>
  </si>
  <si>
    <t>PIJ0312</t>
  </si>
  <si>
    <t>PIJ0351</t>
  </si>
  <si>
    <t>PIJ0389</t>
  </si>
  <si>
    <t>PIJ0393</t>
  </si>
  <si>
    <t>PIJ0363</t>
  </si>
  <si>
    <t>PIJ0381</t>
  </si>
  <si>
    <t>PIJ0307</t>
  </si>
  <si>
    <t>Mantención</t>
  </si>
  <si>
    <t xml:space="preserve">SI </t>
  </si>
  <si>
    <t xml:space="preserve">SI o NO </t>
  </si>
  <si>
    <t>Contratista - Rodrigo</t>
  </si>
  <si>
    <t>Contratista - Humberto</t>
  </si>
  <si>
    <t>Sebastian Johnson</t>
  </si>
  <si>
    <t>Nicolas Grohnert</t>
  </si>
  <si>
    <t>Cargo #1</t>
  </si>
  <si>
    <t>Cargo #2</t>
  </si>
  <si>
    <t>Cargo #3</t>
  </si>
  <si>
    <r>
      <t xml:space="preserve">   N</t>
    </r>
    <r>
      <rPr>
        <b/>
        <vertAlign val="superscript"/>
        <sz val="12"/>
        <color rgb="FF000000"/>
        <rFont val="Calibri"/>
        <family val="2"/>
        <scheme val="minor"/>
      </rPr>
      <t>o</t>
    </r>
    <r>
      <rPr>
        <b/>
        <sz val="12"/>
        <color rgb="FF000000"/>
        <rFont val="Calibri"/>
        <family val="2"/>
        <scheme val="minor"/>
      </rPr>
      <t xml:space="preserve"> Serie equipo</t>
    </r>
  </si>
  <si>
    <t xml:space="preserve">   N° Serie Rack</t>
  </si>
  <si>
    <t xml:space="preserve">   PPM </t>
  </si>
  <si>
    <t xml:space="preserve">   Origen del agua </t>
  </si>
  <si>
    <t xml:space="preserve">   Voltaje Red [V]</t>
  </si>
  <si>
    <t xml:space="preserve">   Amperaje Trabajo [A]</t>
  </si>
  <si>
    <t xml:space="preserve">   C. Boquillas instaladas</t>
  </si>
  <si>
    <t xml:space="preserve">   Presión Entrada [Bar]</t>
  </si>
  <si>
    <t xml:space="preserve">   Presión Salida [Bar]</t>
  </si>
  <si>
    <t xml:space="preserve">   FOTOGRAFÍA 1</t>
  </si>
  <si>
    <t xml:space="preserve">   FOTOGRAFÍA 2</t>
  </si>
  <si>
    <t>CAPACITACIÓN</t>
  </si>
  <si>
    <t>Urgencias (visita inmediata)</t>
  </si>
  <si>
    <t>Servicio Tecnico (visita planificada)</t>
  </si>
  <si>
    <t>PIJ0391</t>
  </si>
  <si>
    <t>PIJ0352</t>
  </si>
  <si>
    <t>PIJ0366</t>
  </si>
  <si>
    <t>PIJ0464</t>
  </si>
  <si>
    <t>PIJ0405</t>
  </si>
  <si>
    <t>PIJ0332</t>
  </si>
  <si>
    <t>PIJ0304</t>
  </si>
  <si>
    <t>PIJ0305</t>
  </si>
  <si>
    <t>PIJ0397</t>
  </si>
  <si>
    <t>PIJ0367</t>
  </si>
  <si>
    <t>PIJ0428</t>
  </si>
  <si>
    <t>PIJ0430</t>
  </si>
  <si>
    <t>PIJ0379</t>
  </si>
  <si>
    <t>PIJ0338</t>
  </si>
  <si>
    <t>PIJ0418</t>
  </si>
  <si>
    <t>PIJ0356</t>
  </si>
  <si>
    <t>PIJ0416</t>
  </si>
  <si>
    <t>PIJ0422</t>
  </si>
  <si>
    <t xml:space="preserve">Agricola el Calvario </t>
  </si>
  <si>
    <t xml:space="preserve">Agricola El Toro Limitada </t>
  </si>
  <si>
    <t xml:space="preserve">Feldberg Spa </t>
  </si>
  <si>
    <t>Agricola Blue Gold Sac</t>
  </si>
  <si>
    <t>79686320-k</t>
  </si>
  <si>
    <t>77029199- 2</t>
  </si>
  <si>
    <t>San Pedro de Lloc</t>
  </si>
  <si>
    <t>https://maps.app.goo.gl/ttL5fpH8TRDqrrtm9</t>
  </si>
  <si>
    <t>https://maps.app.goo.gl/ttL5fpH8TRDqrrtm8</t>
  </si>
  <si>
    <t>https://maps.app.goo.gl/pWcR6X3DanCZzmKK11</t>
  </si>
  <si>
    <t>https://maps.app.goo.gl/pWcR6X3DanCZzmKK10</t>
  </si>
  <si>
    <t>https://maps.app.goo.gl/pWcR6X3DanCZzmKK9</t>
  </si>
  <si>
    <t>https://maps.app.goo.gl/ttL5fpH8TRDqrrtm7</t>
  </si>
  <si>
    <t>https://maps.app.goo.gl/ttL5fpH8TRDqrrtm6</t>
  </si>
  <si>
    <t>https://maps.app.goo.gl/SfBEKjejcX4ffiwv8</t>
  </si>
  <si>
    <t>https://goo.gl/maps/DMQnt7XY124Ki5So9</t>
  </si>
  <si>
    <t>https://maps.app.goo.gl/FgXBaoxGFoCNP4DA8</t>
  </si>
  <si>
    <t>https://maps.app.goo.gl/fgkXsVc8hzPKTABz7</t>
  </si>
  <si>
    <t>PIJ0506</t>
  </si>
  <si>
    <t>PIJ0507</t>
  </si>
  <si>
    <t>PIJ0504</t>
  </si>
  <si>
    <t xml:space="preserve">Emilio Vega </t>
  </si>
  <si>
    <t>PIJ0456</t>
  </si>
  <si>
    <t>PIJ0461</t>
  </si>
  <si>
    <t>PIJ0426</t>
  </si>
  <si>
    <t>PIJ0427</t>
  </si>
  <si>
    <t>PIJ0495</t>
  </si>
  <si>
    <t>PIJ0492</t>
  </si>
  <si>
    <t>SN</t>
  </si>
  <si>
    <t>PIJ0440</t>
  </si>
  <si>
    <t>PIJ0433</t>
  </si>
  <si>
    <t>PIJ0421</t>
  </si>
  <si>
    <t>AGRÍCOLA PAMPA BAJA S.A.C</t>
  </si>
  <si>
    <t>Majes, Perú</t>
  </si>
  <si>
    <t>https://maps.app.goo.gl/5Krr8KBsRBejNnw18</t>
  </si>
  <si>
    <t xml:space="preserve">H150 </t>
  </si>
  <si>
    <t>https://maps.app.goo.gl/gpESaZtyLAnbpgKn9</t>
  </si>
  <si>
    <t>https://maps.app.goo.gl/d2EMLxNPuV53Rbjv9</t>
  </si>
  <si>
    <t>https://maps.app.goo.gl/4BPVqwBXNNTzHZNV9</t>
  </si>
  <si>
    <t>QUILZIOLLI S.A</t>
  </si>
  <si>
    <t>KM 98 VIA GUAYAQUIL- SALINAS, COMUNA EL AZUCAR</t>
  </si>
  <si>
    <t>https://maps.app.goo.gl/s6Gy7r1tksvucz4j9</t>
  </si>
  <si>
    <t xml:space="preserve">SOC Agricola San Jorge Limitada </t>
  </si>
  <si>
    <t>76062480-2</t>
  </si>
  <si>
    <t>https://maps.app.goo.gl/FVPnqD6K1KuLkagZ6</t>
  </si>
  <si>
    <t>EQ-0001</t>
  </si>
  <si>
    <t>EQ-0004</t>
  </si>
  <si>
    <t>Equipo Humidificador H14 CAT</t>
  </si>
  <si>
    <t>EQ-0008</t>
  </si>
  <si>
    <t>EQ-0006</t>
  </si>
  <si>
    <t>EQ-0012</t>
  </si>
  <si>
    <t>Equipo Ultrasonido DM4</t>
  </si>
  <si>
    <t>EQ-0011</t>
  </si>
  <si>
    <t>Equipo Ultrasonido U24</t>
  </si>
  <si>
    <t>Equipo Ultrasonido U24 Plus</t>
  </si>
  <si>
    <t>EQ-0010</t>
  </si>
  <si>
    <t>Instalación de líneas nuevas H100 (sin equipo)</t>
  </si>
  <si>
    <t>SER-0002</t>
  </si>
  <si>
    <t>Instalación de líneas nuevas H150 (sin equipo)</t>
  </si>
  <si>
    <t>SER-0003</t>
  </si>
  <si>
    <t>Rack Angosto Inox</t>
  </si>
  <si>
    <t>Rack Simple 2024</t>
  </si>
  <si>
    <t>EQ-0013</t>
  </si>
  <si>
    <t>Carro Autónomo de Humidificación</t>
  </si>
  <si>
    <t>Gaspar Galaz</t>
  </si>
  <si>
    <t>Equipo Humidificador Aviga Plus</t>
  </si>
  <si>
    <t>Equipo Humidificador H14 Doble</t>
  </si>
  <si>
    <t>Equipo Humidificador H240</t>
  </si>
  <si>
    <t xml:space="preserve"> H14 CAT</t>
  </si>
  <si>
    <t>H12</t>
  </si>
  <si>
    <t>Aviga Plus</t>
  </si>
  <si>
    <t>DM4</t>
  </si>
  <si>
    <t>U24 Plus</t>
  </si>
  <si>
    <t>PIJ0497</t>
  </si>
  <si>
    <t>PIJ0441</t>
  </si>
  <si>
    <t xml:space="preserve">Medalla de Oro </t>
  </si>
  <si>
    <t>PIJ0439</t>
  </si>
  <si>
    <t>77424116-7</t>
  </si>
  <si>
    <t>PIJ0257</t>
  </si>
  <si>
    <t>PIJ0465</t>
  </si>
  <si>
    <t>PIJ0496</t>
  </si>
  <si>
    <t>PIJ0499</t>
  </si>
  <si>
    <t>PIJ0463</t>
  </si>
  <si>
    <t>PIJ0454</t>
  </si>
  <si>
    <t>Agricola El Arenal Limitada (Carlos Silva)</t>
  </si>
  <si>
    <t>Agricola La Patagua (Fundo Pajonal) (Carlos Silva)</t>
  </si>
  <si>
    <t>Agricola La Patagua (Fundo Patagua) (Carlos Silva)</t>
  </si>
  <si>
    <t>Agricola Santa Trinidad Ltda.</t>
  </si>
  <si>
    <t>Fruticola El Aromo S.A (El Aromo) (Carlos Silva)</t>
  </si>
  <si>
    <t>Fruticola El Aromo S.A (El Llano) (Carlos Silva)</t>
  </si>
  <si>
    <t>Fruticola El Aromo S.A (Pantonera) (Carlos Silva)</t>
  </si>
  <si>
    <t>Frutera Agrosan Export SPA</t>
  </si>
  <si>
    <t>77535538-7</t>
  </si>
  <si>
    <t>Cereza/Uva</t>
  </si>
  <si>
    <t>Servicio de Urgencia R.M., V y VII Región</t>
  </si>
  <si>
    <t>SER-0005</t>
  </si>
  <si>
    <t>SER-0004</t>
  </si>
  <si>
    <t>Visita R.M., V y VII Región</t>
  </si>
  <si>
    <t>HT-0001</t>
  </si>
  <si>
    <t>HT-0002</t>
  </si>
  <si>
    <t>HT-0003</t>
  </si>
  <si>
    <t>HT-0004</t>
  </si>
  <si>
    <t>HT-0005</t>
  </si>
  <si>
    <t>HT-0006</t>
  </si>
  <si>
    <t>HT-0007</t>
  </si>
  <si>
    <t>HT-0008</t>
  </si>
  <si>
    <t>HT-0009</t>
  </si>
  <si>
    <t>HT-0010</t>
  </si>
  <si>
    <t>HT-0011</t>
  </si>
  <si>
    <t>HT-0012</t>
  </si>
  <si>
    <t>HT-0013</t>
  </si>
  <si>
    <t>HT-0014</t>
  </si>
  <si>
    <t>HT-0015</t>
  </si>
  <si>
    <t>HT-0016</t>
  </si>
  <si>
    <t>HT-0017</t>
  </si>
  <si>
    <t>HT-0018</t>
  </si>
  <si>
    <t>HT-0019</t>
  </si>
  <si>
    <t>HT-0020</t>
  </si>
  <si>
    <t>HT-0021</t>
  </si>
  <si>
    <t>HT-0022</t>
  </si>
  <si>
    <t>HT-0023</t>
  </si>
  <si>
    <t>HT-0024</t>
  </si>
  <si>
    <t>HT-0025</t>
  </si>
  <si>
    <t>HT-0026</t>
  </si>
  <si>
    <t>HT-0027</t>
  </si>
  <si>
    <t>HT-0028</t>
  </si>
  <si>
    <t>HT-0029</t>
  </si>
  <si>
    <t>KI-0001</t>
  </si>
  <si>
    <t>KI-0002</t>
  </si>
  <si>
    <t>KI-0003</t>
  </si>
  <si>
    <t>KI-0004</t>
  </si>
  <si>
    <t>KI-0005</t>
  </si>
  <si>
    <t>KR-0001</t>
  </si>
  <si>
    <t>KR-0002</t>
  </si>
  <si>
    <t>KS-0001</t>
  </si>
  <si>
    <t>KS-0002</t>
  </si>
  <si>
    <t>PP-0062</t>
  </si>
  <si>
    <t>PP-0066</t>
  </si>
  <si>
    <t>PP-0074</t>
  </si>
  <si>
    <t>PP-0077</t>
  </si>
  <si>
    <t>PP-0081</t>
  </si>
  <si>
    <t>PP-0082</t>
  </si>
  <si>
    <t>PP-0234</t>
  </si>
  <si>
    <t>PP-0274</t>
  </si>
  <si>
    <t>PP-0291</t>
  </si>
  <si>
    <t>PP-0292</t>
  </si>
  <si>
    <t>PP-0293</t>
  </si>
  <si>
    <t>PP-0299</t>
  </si>
  <si>
    <t>PP-0324</t>
  </si>
  <si>
    <t>PP-0335</t>
  </si>
  <si>
    <t>PP-0336</t>
  </si>
  <si>
    <t>PP-0337</t>
  </si>
  <si>
    <t>PP-0338</t>
  </si>
  <si>
    <t>PP-0339</t>
  </si>
  <si>
    <t>PP-0341</t>
  </si>
  <si>
    <t>PP-0342</t>
  </si>
  <si>
    <t>PP-0343</t>
  </si>
  <si>
    <t>PP-0344</t>
  </si>
  <si>
    <t>PP-0346</t>
  </si>
  <si>
    <t>PP-0348</t>
  </si>
  <si>
    <t>PP-0349</t>
  </si>
  <si>
    <t>PP-0350</t>
  </si>
  <si>
    <t>PP-0353</t>
  </si>
  <si>
    <t>PP-0354</t>
  </si>
  <si>
    <t>PP-0355</t>
  </si>
  <si>
    <t>PP-0358</t>
  </si>
  <si>
    <t>PP-0361</t>
  </si>
  <si>
    <t>PP-0362</t>
  </si>
  <si>
    <t>PP-0363</t>
  </si>
  <si>
    <t>PP-0364</t>
  </si>
  <si>
    <t>PP-0365</t>
  </si>
  <si>
    <t>PP-0366</t>
  </si>
  <si>
    <t>PP-0368</t>
  </si>
  <si>
    <t>PP-0369</t>
  </si>
  <si>
    <t>PP-0370</t>
  </si>
  <si>
    <t>PP-0371</t>
  </si>
  <si>
    <t>PP-0372</t>
  </si>
  <si>
    <t>PP-0373</t>
  </si>
  <si>
    <t>PP-0374</t>
  </si>
  <si>
    <t>PP-0375</t>
  </si>
  <si>
    <t>PP-0378</t>
  </si>
  <si>
    <t>PP-0379</t>
  </si>
  <si>
    <t>PP-0380</t>
  </si>
  <si>
    <t>PP-0381</t>
  </si>
  <si>
    <t>PP-0383</t>
  </si>
  <si>
    <t>PP-0385</t>
  </si>
  <si>
    <t>PP-0386</t>
  </si>
  <si>
    <t>PP-0387</t>
  </si>
  <si>
    <t>PP-0388</t>
  </si>
  <si>
    <t>PP-0389</t>
  </si>
  <si>
    <t>PP-0390</t>
  </si>
  <si>
    <t>PP-0391</t>
  </si>
  <si>
    <t>PP-0392</t>
  </si>
  <si>
    <t>PP-0393</t>
  </si>
  <si>
    <t>PP-0394</t>
  </si>
  <si>
    <t>PP-0395</t>
  </si>
  <si>
    <t>PP-0396</t>
  </si>
  <si>
    <t>PP-0397</t>
  </si>
  <si>
    <t>PP-0398</t>
  </si>
  <si>
    <t>PP-0399</t>
  </si>
  <si>
    <t>PP-0400</t>
  </si>
  <si>
    <t>PP-0401</t>
  </si>
  <si>
    <t>PP-0406</t>
  </si>
  <si>
    <t>PP-0407</t>
  </si>
  <si>
    <t>PP-0408</t>
  </si>
  <si>
    <t>PP-0409</t>
  </si>
  <si>
    <t>PP-0410</t>
  </si>
  <si>
    <t>PP-0411</t>
  </si>
  <si>
    <t>PP-0412</t>
  </si>
  <si>
    <t>PP-0413</t>
  </si>
  <si>
    <t>PP-0414</t>
  </si>
  <si>
    <t>PP-0415</t>
  </si>
  <si>
    <t>PP-0416</t>
  </si>
  <si>
    <t>PP-0417</t>
  </si>
  <si>
    <t>PP-0418</t>
  </si>
  <si>
    <t>PP-0419</t>
  </si>
  <si>
    <t>PP-0420</t>
  </si>
  <si>
    <t>PP-0421</t>
  </si>
  <si>
    <t>PP-0422</t>
  </si>
  <si>
    <t>PP-0423</t>
  </si>
  <si>
    <t>PP-0424</t>
  </si>
  <si>
    <t>PP-0425</t>
  </si>
  <si>
    <t>PP-0426</t>
  </si>
  <si>
    <t>PP-0427</t>
  </si>
  <si>
    <t xml:space="preserve">Taladro Inalámbrico + 2 baterías 20V </t>
  </si>
  <si>
    <t>Alicate Universal 8"</t>
  </si>
  <si>
    <t>Alicate Punta 6"</t>
  </si>
  <si>
    <t>Alicate cortante 7"</t>
  </si>
  <si>
    <t>Juego destornilladores (Stanley)</t>
  </si>
  <si>
    <t>Pelacables Automático (Bauker)</t>
  </si>
  <si>
    <t>Juego Atornilladores de precisión (Stanley)</t>
  </si>
  <si>
    <t>Huincha de Medir 10 metros (Stanley)</t>
  </si>
  <si>
    <t>Alicate Pico Loro 10"</t>
  </si>
  <si>
    <t xml:space="preserve">Sopladora de Aire </t>
  </si>
  <si>
    <t xml:space="preserve">Corta Cartón Industrial </t>
  </si>
  <si>
    <t>Juego de Dados 1/2 a 30</t>
  </si>
  <si>
    <t>Juego de Dados 1/4 a 14</t>
  </si>
  <si>
    <t>Tester Unic-T Pinza Amperímetro</t>
  </si>
  <si>
    <t>Juego Broca escalonada (3 unidades)</t>
  </si>
  <si>
    <t>Llave Ajustable 12"</t>
  </si>
  <si>
    <t>Llave Ajustable 8"</t>
  </si>
  <si>
    <t>Llave Stilson 14"</t>
  </si>
  <si>
    <t xml:space="preserve">Juego Llave punta corona 8 mm a 19 mm </t>
  </si>
  <si>
    <t>Caimán Curvo 10"</t>
  </si>
  <si>
    <t xml:space="preserve">Cautín </t>
  </si>
  <si>
    <t>Punta Filip</t>
  </si>
  <si>
    <t>Punta Filip Hexagonal</t>
  </si>
  <si>
    <t>Medidor PPM</t>
  </si>
  <si>
    <t xml:space="preserve">Esmeril </t>
  </si>
  <si>
    <t xml:space="preserve">Mascara de Soldar </t>
  </si>
  <si>
    <t xml:space="preserve">Caja Herramientas </t>
  </si>
  <si>
    <t xml:space="preserve">Pistola Calor </t>
  </si>
  <si>
    <t>Kit Instalación H100</t>
  </si>
  <si>
    <t>Kit Instalación H150</t>
  </si>
  <si>
    <t>Kit Instalación H50 Acopio/Recepción</t>
  </si>
  <si>
    <t>Kit Instalación H14</t>
  </si>
  <si>
    <t>Kit Instalación H50 Cámara</t>
  </si>
  <si>
    <t>Kit Repuestos Nacional</t>
  </si>
  <si>
    <t>Kit Repuestos Exportación</t>
  </si>
  <si>
    <t>Kit Sensor de Humedad Recepción/Acopio</t>
  </si>
  <si>
    <t>Kit Sensor de Humedad Cámaras</t>
  </si>
  <si>
    <t>Boya 150 mm</t>
  </si>
  <si>
    <t>Barrica 60 L Tapa Grande</t>
  </si>
  <si>
    <t>Unión Macho Reducción 3/8 x 1/4 NPT</t>
  </si>
  <si>
    <t>Conector Macho Plástico 1/8 NPT x 1/4 QC</t>
  </si>
  <si>
    <t>Conector Macho Plástico 3/8 NPT x 3/8 QC</t>
  </si>
  <si>
    <t>Codo Macho Plástico 1/4 NPT x 1/4 QC</t>
  </si>
  <si>
    <t>Codo Steam Plástico 3/8 S x 1/4 QC</t>
  </si>
  <si>
    <t>Conector Macho Plástico 3/8 NPT x 1/4 QC</t>
  </si>
  <si>
    <t>Reducción 1/2 x 3/8</t>
  </si>
  <si>
    <t>Conector Macho Plástico 1/2 NPT x 1/4 QC</t>
  </si>
  <si>
    <t>Buje Red HI x HE 1 x 1/2</t>
  </si>
  <si>
    <t>Copla HI 1</t>
  </si>
  <si>
    <t>Terminal PVC HE CEM 32 x 1</t>
  </si>
  <si>
    <t>Niple PVC HE / HE 1/2</t>
  </si>
  <si>
    <t>Codo CEM 90° 32 mm</t>
  </si>
  <si>
    <t>Salida Estanque 32*1</t>
  </si>
  <si>
    <t>Valvula con Union Americana 32 mm</t>
  </si>
  <si>
    <t>Bushing Bronce 1/2</t>
  </si>
  <si>
    <t>Codo Macho-Hembra 1/4 BSP</t>
  </si>
  <si>
    <t>Programador LAE</t>
  </si>
  <si>
    <t>Valvula de Pie 1"</t>
  </si>
  <si>
    <t>Conector de Resorte 18-10 AWG Amarillo Ekoline</t>
  </si>
  <si>
    <t>Codo Plástico 1/2 x 1/2 QC</t>
  </si>
  <si>
    <t>Caja Brain 2020</t>
  </si>
  <si>
    <t>Caja Display 2020</t>
  </si>
  <si>
    <t>Conector Macho Plástico 1/4 NPT x 3/8 QC</t>
  </si>
  <si>
    <t>Conector Macho Plástico 1/2 NPT x 3/8 QC</t>
  </si>
  <si>
    <t>Conector Macho Plástico 3/8 NPT x 1/2 QC</t>
  </si>
  <si>
    <t>Conector Macho Plástico 1/2 NPT x 1/2 QC</t>
  </si>
  <si>
    <t>Conector Bronce Macho 3/8 x 1/4</t>
  </si>
  <si>
    <t>Conector Bronce Macho 3/8 x 3/8</t>
  </si>
  <si>
    <t>Codo Bronce Macho 3/8 x 1/4</t>
  </si>
  <si>
    <t>Codo Bronce Macho Giratorio 3/8 x 1/4</t>
  </si>
  <si>
    <t>Reducción 1/4 QC x 3/8 S</t>
  </si>
  <si>
    <t>Programador ATS x 33 H</t>
  </si>
  <si>
    <t>Tee Plástica 1/4 x 1/4 x 1/4</t>
  </si>
  <si>
    <t>Tee Plástica 1/2 x 1/2 x 3/8</t>
  </si>
  <si>
    <t>Tee Plástica 1/2 x 1/2 x 1/2</t>
  </si>
  <si>
    <t>Tarjeta SIM Card</t>
  </si>
  <si>
    <t>Bomba Cat 4DX20ER</t>
  </si>
  <si>
    <t>Caja H100</t>
  </si>
  <si>
    <t>Caja H12</t>
  </si>
  <si>
    <t>Caja H14</t>
  </si>
  <si>
    <t>Condensador Comar 20MF con Terminal</t>
  </si>
  <si>
    <t>Boquillas 0.1 mm</t>
  </si>
  <si>
    <t>Boquillas 0.2 mm</t>
  </si>
  <si>
    <t>Filtro Papel 5 Micras 10"</t>
  </si>
  <si>
    <t>Escuadra H14</t>
  </si>
  <si>
    <t>Sensor de Nivel Ultrasonido (Flotador)</t>
  </si>
  <si>
    <t>Bateria PV Carbon</t>
  </si>
  <si>
    <t>Teflon Profesional 3/4</t>
  </si>
  <si>
    <t>Diferencial 25A</t>
  </si>
  <si>
    <t>Cordón 3 x 1.5 mm negro</t>
  </si>
  <si>
    <t>Contactor Modular 25A 220V AC</t>
  </si>
  <si>
    <t>Enchufe Hembra Industrial Azul EMB</t>
  </si>
  <si>
    <t>Tablero Electrico</t>
  </si>
  <si>
    <t>Manifold 3/8" x 1/4" s/m</t>
  </si>
  <si>
    <t>Alambre 14 Galvanizado rollo 25 kg</t>
  </si>
  <si>
    <t>Manifold Bronce 1/4 x 120 mm</t>
  </si>
  <si>
    <t>Barra Negra Aviga</t>
  </si>
  <si>
    <t>Aceite Hidráulico ISO 68</t>
  </si>
  <si>
    <t>Codo PVC HI 32 mm</t>
  </si>
  <si>
    <t>Codo Macho 1/2 x 1/2</t>
  </si>
  <si>
    <t>Goma Pasacables N° 8</t>
  </si>
  <si>
    <t xml:space="preserve">Regatón Plástico 30mm x 30mm Negro </t>
  </si>
  <si>
    <t>Carcasa Sensor</t>
  </si>
  <si>
    <t>Válvula Solenoide AC 24V</t>
  </si>
  <si>
    <t>Válvula Solenoide DC 24V</t>
  </si>
  <si>
    <t>Lubricante WD-40</t>
  </si>
  <si>
    <t>Relé Estado Sólido 24V DC salida 240 AC</t>
  </si>
  <si>
    <t>Amarras Plásticas Negras</t>
  </si>
  <si>
    <t>Cordón 2 x 0.75 mm negro</t>
  </si>
  <si>
    <t>Caja Gris Impresa</t>
  </si>
  <si>
    <t>Aislación Aeroflex x metro</t>
  </si>
  <si>
    <t>Canaleta 40 x 16 x 2000 mm</t>
  </si>
  <si>
    <t>Cable Acero Galv (Piola) 1/4 (6x19)</t>
  </si>
  <si>
    <t>Sujetador de Barra Blanco</t>
  </si>
  <si>
    <t>Reducción Hembra 3/8 x 1/4</t>
  </si>
  <si>
    <t>Tee PVC 3/8 x 1/4 x 3/8</t>
  </si>
  <si>
    <t>Enchufe Macho 2P+T 10A Convertible Gris Ekoline</t>
  </si>
  <si>
    <t>Ablandador de Agua Calmat</t>
  </si>
  <si>
    <t>Soporte Manometro Posterior</t>
  </si>
  <si>
    <t>Cable Automotriz 14 AWG Blanco Ekoline</t>
  </si>
  <si>
    <t>Terminal FDFN2-250 Hembra Azul AWG16-14 Recubierto</t>
  </si>
  <si>
    <t>Cable Automotriz 18AWG Rojo Ekoline</t>
  </si>
  <si>
    <t>Cable Automotriz 18AWG Negro Ekoline</t>
  </si>
  <si>
    <t>Terminal Horquilla 16-40 AWG 5.3 mm Azul</t>
  </si>
  <si>
    <t>Cordón H03 VV-F 2 x 0.75 mm2 Negro</t>
  </si>
  <si>
    <t>Perno Hexagonal 5/16" x 1-1/2" Zinc</t>
  </si>
  <si>
    <t>Tuerca 5/16" Zinc</t>
  </si>
  <si>
    <t>Golilla Plana 5/16" Zinc</t>
  </si>
  <si>
    <t>Golilla Presión 5/16" Zinc</t>
  </si>
  <si>
    <t>Terminal de Punta 22-16AWG Rojo Ekoline</t>
  </si>
  <si>
    <t>Ventilador Ultrasonido</t>
  </si>
  <si>
    <t>Conector 3 pin Antiagua</t>
  </si>
  <si>
    <t>Ventilador DC 48V Brushless</t>
  </si>
  <si>
    <t>Lama 200 mm Lisa</t>
  </si>
  <si>
    <t>Lama 300 mm Lisa</t>
  </si>
  <si>
    <t>Cable libre de alógeno H072Z1-K 1.5 mm2 450/750V Rojo</t>
  </si>
  <si>
    <t>Cable libre de alógeno H072Z1-K 1.5 mm2 450/750V Blanco</t>
  </si>
  <si>
    <t>Cable libre de alógeno H072Z1-K 1.5 mm2 450/750V Verde</t>
  </si>
  <si>
    <t xml:space="preserve">Tornillo Roscalata 10x1" Cab. Plana  </t>
  </si>
  <si>
    <t>Perno Hexagonal 1/4" x 1" Zinc</t>
  </si>
  <si>
    <t>Golilla Plana 1/4" Zinc</t>
  </si>
  <si>
    <t>Tuerca 1/4" Zinc</t>
  </si>
  <si>
    <t>Cinta 33 + Super V. Negra 3/4 x 20 m 3M</t>
  </si>
  <si>
    <t>Tornillo Autoperforante 8 x 1/2" Zinc</t>
  </si>
  <si>
    <t xml:space="preserve">Tornillo Autoperforante 8 x 1/2" Inox </t>
  </si>
  <si>
    <t>Golilla Presión 1/4" Zinc</t>
  </si>
  <si>
    <t>Cinta Doble Contacto 3M</t>
  </si>
  <si>
    <t>Goma Perno N° 335</t>
  </si>
  <si>
    <t>Goma Pasacables N° 12</t>
  </si>
  <si>
    <t>Bomba CAT 4DX03ELR</t>
  </si>
  <si>
    <t>Gancho S (Acetal Negro)</t>
  </si>
  <si>
    <t>Aislación de Tubería 1/2 x 3/8 x 1.83 m</t>
  </si>
  <si>
    <t>Caja Cartón 700 x 500 x 350 mm</t>
  </si>
  <si>
    <t>Malla Raschel 95% Negra</t>
  </si>
  <si>
    <t>Moldura 40 x 16 mm c/Tabique y Tapa</t>
  </si>
  <si>
    <t>Caja Estanca EL111 (119x119x67 mm)</t>
  </si>
  <si>
    <t>Estanque Aljibe 2.300 L</t>
  </si>
  <si>
    <t>Tee Hembra 1/4</t>
  </si>
  <si>
    <t>Boquilla Abanico 65°</t>
  </si>
  <si>
    <t>Toldo malla 95%</t>
  </si>
  <si>
    <t>Aro Humidificador</t>
  </si>
  <si>
    <t>Boquillas 0.3 mm</t>
  </si>
  <si>
    <t>Boquillas 0.4 mm</t>
  </si>
  <si>
    <t>Boquillas 0.5 mm</t>
  </si>
  <si>
    <t>DM/ECI Regulador de presión magnético</t>
  </si>
  <si>
    <t>Conector de tubería vertical 2 a 1</t>
  </si>
  <si>
    <t>Kit tubería plástica 4,56 m</t>
  </si>
  <si>
    <t>Conector de tubería vertical 4 a 1</t>
  </si>
  <si>
    <t>Estanque cuadrado Inox para Rack</t>
  </si>
  <si>
    <t>Tubo Termocontraíble DRS12 (12-6 mm)</t>
  </si>
  <si>
    <t>Terminal de Punta 16-14AWG Azul Ekoline</t>
  </si>
  <si>
    <t>Cordón H03 VV-F 3 x 0.75 mm2 Negro</t>
  </si>
  <si>
    <t>Cable Automotriz 18AWG Amarillo Ekoline</t>
  </si>
  <si>
    <t>Terminal Hembra Paleta Media Aislación 16-14AWG 5.6MM Azul</t>
  </si>
  <si>
    <t>Boya PVC 120 mm</t>
  </si>
  <si>
    <t>Pallet Madera 1000 x 1200 Certificado</t>
  </si>
  <si>
    <t>Parrilla Terciado 1000 x 1200</t>
  </si>
  <si>
    <t>Sierra Copa 32mm Inox</t>
  </si>
  <si>
    <t>Sierra Copa 22mm Inox</t>
  </si>
  <si>
    <t xml:space="preserve">Adaptador Sierra Copa </t>
  </si>
  <si>
    <t>Taladro Sobremesa 16mm 375W (Gladiator)</t>
  </si>
  <si>
    <t>Interruptor de presión 170PSI 1/4MPT</t>
  </si>
  <si>
    <t>Potenciómetro 20K con perilla</t>
  </si>
  <si>
    <t>Tapón QC 44S</t>
  </si>
  <si>
    <t>Estructura Rack Angosto Inox</t>
  </si>
  <si>
    <t xml:space="preserve">Unión Hembra Inox 1/2 </t>
  </si>
  <si>
    <t>Kit bomba 24DC y transformador</t>
  </si>
  <si>
    <t>Válvula flotante 1/2"</t>
  </si>
  <si>
    <t>Válvula de Bola Inox 1"</t>
  </si>
  <si>
    <t>Unión Americana Inox 1"</t>
  </si>
  <si>
    <t>Copla Reducción Inox 1" a 1/2"</t>
  </si>
  <si>
    <t>Codo 90° Inox 1"</t>
  </si>
  <si>
    <t xml:space="preserve">Niple Tuerca Inox 1" </t>
  </si>
  <si>
    <t xml:space="preserve">Tornillo Roscalata 8x1" Cab. Plana  </t>
  </si>
  <si>
    <t xml:space="preserve">Goma Pasacables 22mm </t>
  </si>
  <si>
    <t xml:space="preserve">Goma Pasacables 32 mm </t>
  </si>
  <si>
    <t xml:space="preserve">Válvula Flotante Automática 1/2" </t>
  </si>
  <si>
    <t xml:space="preserve">Enchufe Hembra 2P +T 10A Negro Ekoline </t>
  </si>
  <si>
    <t xml:space="preserve">Zapato de Seguridad </t>
  </si>
  <si>
    <t xml:space="preserve">Polera Pique Manga Larga </t>
  </si>
  <si>
    <t xml:space="preserve">Bordado Logo </t>
  </si>
  <si>
    <t>Pantalon Negro</t>
  </si>
  <si>
    <t>Micropolar Negro</t>
  </si>
  <si>
    <t>Caja U12</t>
  </si>
  <si>
    <t>Cable Acero Galv (Piola) 3/16 (6x7)</t>
  </si>
  <si>
    <t>Abrazadera P/Cable 1/4 Galv. (Candado)</t>
  </si>
  <si>
    <t>Abrazadera P/Cable 3/16 Galv. (Candado)</t>
  </si>
  <si>
    <t xml:space="preserve">Aqua Room 8 </t>
  </si>
  <si>
    <t>EQ-0016</t>
  </si>
  <si>
    <t>HT-0030</t>
  </si>
  <si>
    <t>PP-0428</t>
  </si>
  <si>
    <t>PP-0429</t>
  </si>
  <si>
    <t>PP-0430</t>
  </si>
  <si>
    <t>PP-0431</t>
  </si>
  <si>
    <t>PP-0432</t>
  </si>
  <si>
    <t>Equipo Ultrasonido U24M</t>
  </si>
  <si>
    <t>Lima Plana 8"</t>
  </si>
  <si>
    <t xml:space="preserve">Lima Redonda </t>
  </si>
  <si>
    <t>Pila LR44 1.5v</t>
  </si>
  <si>
    <t xml:space="preserve">Camisa Oxford  </t>
  </si>
  <si>
    <t xml:space="preserve">Jockey </t>
  </si>
  <si>
    <t>Balanza sobremesa</t>
  </si>
  <si>
    <t>Capuchón de Pallet</t>
  </si>
  <si>
    <t>Delantal Blanco Industrial con velcro</t>
  </si>
  <si>
    <t>Caja AISI 304-316 2MM</t>
  </si>
  <si>
    <t>PIJ0435</t>
  </si>
  <si>
    <t>PIJ0457</t>
  </si>
  <si>
    <t>PIJ0485</t>
  </si>
  <si>
    <t>PIJ0501</t>
  </si>
  <si>
    <t>PIJ0505</t>
  </si>
  <si>
    <t>PIJ0483</t>
  </si>
  <si>
    <t>PIJ0480</t>
  </si>
  <si>
    <t>PIJ0484</t>
  </si>
  <si>
    <t>PIJ0474</t>
  </si>
  <si>
    <t>PIJ0468</t>
  </si>
  <si>
    <t>PIJ0455</t>
  </si>
  <si>
    <t>PIJ0458</t>
  </si>
  <si>
    <t>PIJ0479</t>
  </si>
  <si>
    <t>PIJ0472</t>
  </si>
  <si>
    <t>PIJ0460</t>
  </si>
  <si>
    <t>PIJ0473</t>
  </si>
  <si>
    <t>Sociedad Agrícola convento Viejo Ltda. (Viluco)</t>
  </si>
  <si>
    <t>Soc. Agricola Alborada S.A</t>
  </si>
  <si>
    <t>Compañía Agrícola y Forestal El Alamo Ltda (Fósforos)</t>
  </si>
  <si>
    <t>Sociedad Agricola Las Tinajas Limitada (Chepica)</t>
  </si>
  <si>
    <t>Agricola La Macarena (Macarena)</t>
  </si>
  <si>
    <t>Agricola Los Olmos Ltda (Tinguiririca)</t>
  </si>
  <si>
    <t>Johnson Fruit SA (Planta)</t>
  </si>
  <si>
    <t>Viga SPA (Codegua)</t>
  </si>
  <si>
    <t>Agricola B &amp; P Limitada (Fundo Santa Margarita S/N)</t>
  </si>
  <si>
    <t>Inmobiliaria Agricola Uvas del Norte (Alianza)</t>
  </si>
  <si>
    <t>Agrofruta Ltda.(Packing Alianza)</t>
  </si>
  <si>
    <t>Sociedad Agrícola El Fuerte y Compañía Ltda.(El Fuerte)</t>
  </si>
  <si>
    <t>Inversiones del Pacífico Ltda.(Iglesia Colorada)</t>
  </si>
  <si>
    <t>Agrícola Dainal Ltda.(Manflas)</t>
  </si>
  <si>
    <t>Frutícola y Exportadora Atacama Ltda.(Nantoco)</t>
  </si>
  <si>
    <t>Sociedad Agrícola Diaguitas Ltda.(Nicasio Torres)</t>
  </si>
  <si>
    <t>Agrícola La Cantera (Norfrut)</t>
  </si>
  <si>
    <t>Agrofruta Ltda.(Packing Los Loros)</t>
  </si>
  <si>
    <t>Agrofruta Ltda.(Packing San Isidro)</t>
  </si>
  <si>
    <t>Frutícola y Exportadora Atacama Ltda.(Viña El Cerro)</t>
  </si>
  <si>
    <t>Andes Service (Los Niches)</t>
  </si>
  <si>
    <t>Agrícola Santa Ana del Huique Spa.</t>
  </si>
  <si>
    <t>Maria Francisca Johnson (Lapi) (Villaseca)</t>
  </si>
  <si>
    <t>Inversiones Fruticolas S.A (Solfrut)</t>
  </si>
  <si>
    <t xml:space="preserve">ZurGroup Services Spa </t>
  </si>
  <si>
    <t>Agrícola Bilbao SPA (San Esteban)</t>
  </si>
  <si>
    <t>Agrícola Paidahuen Ltda.(San Esteban)</t>
  </si>
  <si>
    <t>Delirio</t>
  </si>
  <si>
    <t>Friomach Service Ltda</t>
  </si>
  <si>
    <t>Agricola Los Guindos SPA (Limahue)</t>
  </si>
  <si>
    <t>Carahue SpA (Corcolén)</t>
  </si>
  <si>
    <t>Agricola San Luis de Yaquil SA (San Damian)</t>
  </si>
  <si>
    <t xml:space="preserve">Soc Agricola Catapilco Limitada </t>
  </si>
  <si>
    <t>Agrícola Bauzá SA (Cogotí)</t>
  </si>
  <si>
    <t>Agrícola Bauzá SA (San Lorenzo)</t>
  </si>
  <si>
    <t>Agrícola Sicor SA (Norfrut)</t>
  </si>
  <si>
    <t>Sociedad Agrícola Cerro Campanario Ltda.(Jaime Prohens Somela)</t>
  </si>
  <si>
    <t>Sociedad Agrícola Uni Agri Ovalle SPA (Monte Patria)</t>
  </si>
  <si>
    <t>Agricola El Canelo (Fundo El Canelo)</t>
  </si>
  <si>
    <t>Agricola Santa Filomena Ltda (Huelquen)</t>
  </si>
  <si>
    <t>Agricola y Comercial La Estrella Ltda. (Raul Silva) (Huelquen)</t>
  </si>
  <si>
    <t>Hacienda Chada SA (Huelquen)</t>
  </si>
  <si>
    <t>Sociedad Agrícola Copequen Ltda. (Paine Campo)</t>
  </si>
  <si>
    <t>Sociedad Agricola La Hornilla SPA (Hospital)</t>
  </si>
  <si>
    <t>Sociedad Agrícola Santa Consuelo Ltda. (Santa Consuelo)</t>
  </si>
  <si>
    <t>Agricola Arnaiz (El Tambo)</t>
  </si>
  <si>
    <t>Agricola Lyon Ltda (Fundo El Peumo)</t>
  </si>
  <si>
    <t>Agricola Santa Lucia Ltda (Fundo El Peumo)</t>
  </si>
  <si>
    <t>Agricola Santa Amelia (Green Tree) (Fundo La Torina)</t>
  </si>
  <si>
    <t>Agrícola Lyon Ltda. (Maxagro)</t>
  </si>
  <si>
    <t>Agricola Garces Ltda (La Rinconada)</t>
  </si>
  <si>
    <t>Rendic Hermanos S.A. (Pirque)</t>
  </si>
  <si>
    <t>Viveros Ritcher Chile Ltda. (Chancon)</t>
  </si>
  <si>
    <t>Superfruit (Chancon)</t>
  </si>
  <si>
    <t>Agroindustrial Rosario SPA</t>
  </si>
  <si>
    <t>Agricola Llahuen S.A</t>
  </si>
  <si>
    <t>Delipack Spa</t>
  </si>
  <si>
    <t>Zur Group Frams S.P.A</t>
  </si>
  <si>
    <t>Agricola El Predio Limitada (Parcela 78)</t>
  </si>
  <si>
    <t>Agricola Herrera y Cardoen (Cherry S.Familia) (Fundo El Descanso)</t>
  </si>
  <si>
    <t xml:space="preserve">Agricola Geoagro Limitada </t>
  </si>
  <si>
    <t>Neptuno SA (Acopio El Cisne) (Los Quillayes)</t>
  </si>
  <si>
    <t>Servicios Agricolas Los Cerezos (Jacques) (Los Quillayes)</t>
  </si>
  <si>
    <t>Fruticola El Aromo S.A (San Carlos) (Carlos Silva)</t>
  </si>
  <si>
    <t>Agricola Ba Farms Spa (Fundo Arrayan)</t>
  </si>
  <si>
    <t>Agricola Garces Ltda (El Parque)</t>
  </si>
  <si>
    <t>Agricola Garces Ltda (El Recurso)</t>
  </si>
  <si>
    <t>Sociedad Agricola San Jose (Garay) (Casas de Peuco)</t>
  </si>
  <si>
    <t>Agrícola Los Acacios Ltda (Rinconada)</t>
  </si>
  <si>
    <t>Agrícola Uni Agri Curimon SPA (Catemu)</t>
  </si>
  <si>
    <t>Agrofruta Tocornal Limitada (Las Cadenas)</t>
  </si>
  <si>
    <t>Exportadora Frutexport Ltda. (Quebrada Seca) (Santa Maria)</t>
  </si>
  <si>
    <t>Sociedad Agricola Maria del Transito Ltda. (Catemu)</t>
  </si>
  <si>
    <t>Sociedad Agrícola y Comercial San Sebastian SPA (Santa Maria)</t>
  </si>
  <si>
    <t>Viñedos Familia Chadwick SPA (Panquehue)</t>
  </si>
  <si>
    <t>Agricola San Luis de Yaquil SA (Campo Moscoso)</t>
  </si>
  <si>
    <t>Agricola San Luis de Yaquil SA (Packing Cardal)</t>
  </si>
  <si>
    <t>Agricola San Luis de Yaquil SA (Packing Chépica)</t>
  </si>
  <si>
    <t>Agricola San Luis de Yaquil SA (Tierra Chilena)</t>
  </si>
  <si>
    <t xml:space="preserve">Comercial Greenvic S.A (Placilla)  </t>
  </si>
  <si>
    <t>Giddings Cerasus (La Paloma)</t>
  </si>
  <si>
    <t>Inmobiliaria Frusan S.A (Canadiilla)</t>
  </si>
  <si>
    <t>Johnson Fruit SA (La Teja) (Puente Negro)</t>
  </si>
  <si>
    <t>Sociedad Agrícola Los Lingues Ltda. (Daniel Uauy) (Los Lingues)</t>
  </si>
  <si>
    <t>Sociedad Agricola San Guillermo Ltda. (Agricola 3 Marias) (Nancagua)</t>
  </si>
  <si>
    <t>Sociedad Inmobiliaria e Inversiones San Alejandro SPA (Placilla)</t>
  </si>
  <si>
    <t>Excellence Fruit SAC (Fundo San Pedro)</t>
  </si>
  <si>
    <t>Excellence Fruit SAC (Viru)</t>
  </si>
  <si>
    <t>Industria Corchera SA La Cisterna</t>
  </si>
  <si>
    <t>Supermercado Montserrat SAC (Las Condes)</t>
  </si>
  <si>
    <t>Cencosud Retail S.A.(Bilbao)</t>
  </si>
  <si>
    <t>Epta Chile Spa (Tottus) (Bilbao)</t>
  </si>
  <si>
    <t>CGA Algodones (Colina)</t>
  </si>
  <si>
    <t>Cencosud Retail S.A.(La Dehesa)</t>
  </si>
  <si>
    <t>Cencosud Retail S.A.(La Reina)</t>
  </si>
  <si>
    <t>Cencosud Retail S.A.(Las Condes)</t>
  </si>
  <si>
    <t>Epta Chile Spa (Tottus) (Las Condes)</t>
  </si>
  <si>
    <t>Epta Chile Spa (Tottus) (Los Trapenses)</t>
  </si>
  <si>
    <t>Viña Concha y Toro SA (Puente Alto)</t>
  </si>
  <si>
    <t>Lastrade Hermanos y Cía. Ltda. (Algodón) (Quilicura)</t>
  </si>
  <si>
    <t>Agríola Arapey Ltda. (Colina)</t>
  </si>
  <si>
    <t>Agroindustrias Quilaco SA (Colina)</t>
  </si>
  <si>
    <t>Frutera Aguas Blancas Ltda.(Colina)</t>
  </si>
  <si>
    <t>Agricola El Olivar de Chacabuco (Colina)</t>
  </si>
  <si>
    <t>Agrícola Chacabuco Quality Grapes SA (Colina)</t>
  </si>
  <si>
    <t>Supermercado Montserrat SAC (Colina)</t>
  </si>
  <si>
    <t>Comercial Avicola Agricola Trinidad Limitada (San Bernando)</t>
  </si>
  <si>
    <t>Rubaiyat Chile (Vitacura)</t>
  </si>
  <si>
    <t>Cencosud Retail S.A. (Providencia)</t>
  </si>
  <si>
    <t>DFV Ingenieria (Unimarc Tranqueras) (Vitacura)</t>
  </si>
  <si>
    <t>QBERRIES SAC</t>
  </si>
  <si>
    <t>Agrícola Campillay SPA (El Olivo)</t>
  </si>
  <si>
    <t>Agrícola Campillay SPA (La Totora)</t>
  </si>
  <si>
    <t>Agrícola Campillay SPA (Packing Ramdilla)</t>
  </si>
  <si>
    <t>Agrícola Campillay SPA (Tamarugo)</t>
  </si>
  <si>
    <t>Agricola dos Hermanos (Andres Gandarilla) (Alto Del Carmen)</t>
  </si>
  <si>
    <t>Agrícola Río El Tránsito Ltda.(Rio Transito)</t>
  </si>
  <si>
    <t>Agrícola El Cerrito SA (Fundo Cerrito)</t>
  </si>
  <si>
    <t>Frutícola y Exportadora Atacama Ltda.(Maitencillo)</t>
  </si>
  <si>
    <t>Frutícola y Exportadora Atacama Ltda.(Huancara)</t>
  </si>
  <si>
    <t>Inversiones del Pacífico Ltda. (Huanta)</t>
  </si>
  <si>
    <t>Sociedad Agrícola El Alamo Ltda. (Fundo San Carlos)</t>
  </si>
  <si>
    <t>76225319-4</t>
  </si>
  <si>
    <t>99507910-0</t>
  </si>
  <si>
    <t>78060780-7</t>
  </si>
  <si>
    <t>77713645-3</t>
  </si>
  <si>
    <t>76975733-3</t>
  </si>
  <si>
    <t>78241100-4</t>
  </si>
  <si>
    <t xml:space="preserve"> 76941075-9</t>
  </si>
  <si>
    <t>76585852-6</t>
  </si>
  <si>
    <t>77980980-3</t>
  </si>
  <si>
    <t>https://maps.app.goo.gl/AyY2Qx2w5DhG3bMx9</t>
  </si>
  <si>
    <t>https://maps.app.goo.gl/e7jDKBz8eis4HyMP9</t>
  </si>
  <si>
    <t>https://maps.app.goo.gl/V4E6wUzZiDqvS5sF9</t>
  </si>
  <si>
    <t>https://maps.app.goo.gl/A7Ec2eBHjb7zSFWKA</t>
  </si>
  <si>
    <t>https://maps.app.goo.gl/YZqs9wK2Zw7HBLXF7</t>
  </si>
  <si>
    <t>https://maps.app.goo.gl/MHB2HdsVtmAYxASz7</t>
  </si>
  <si>
    <t>https://maps.app.goo.gl/cEmHAFY6dtcqZkVQ6</t>
  </si>
  <si>
    <t>https://maps.app.goo.gl/tDbZkHnX1uDAX3ah9</t>
  </si>
  <si>
    <t>https://maps.app.goo.gl/hjySP52BeHfKVytE9</t>
  </si>
  <si>
    <t>https://maps.app.goo.gl/zvRC9v2mGjkDBP2y7</t>
  </si>
  <si>
    <t>https://maps.app.goo.gl/6e115zwN4kFBYoHZA</t>
  </si>
  <si>
    <t>https://maps.app.goo.gl/tUAaNL6aDAfuSwAM9</t>
  </si>
  <si>
    <t>https://maps.app.goo.gl/PQ6Hmwti7tnssqVN7</t>
  </si>
  <si>
    <t>https://maps.app.goo.gl/7RDFSnyJaN1MLPKb7</t>
  </si>
  <si>
    <t>https://maps.app.goo.gl/mBTJomYj4zU7WL647</t>
  </si>
  <si>
    <t>https://maps.app.goo.gl/HJSxdYJzF1vuJUyF8</t>
  </si>
  <si>
    <t>https://maps.app.goo.gl/gf9whyBUdmqfevWS6</t>
  </si>
  <si>
    <t>https://maps.app.goo.gl/D4PQHNqfQhVH5qHh8</t>
  </si>
  <si>
    <t>https://maps.app.goo.gl/yyD5Ekz4Jka3zXqu5</t>
  </si>
  <si>
    <t>https://maps.app.goo.gl/4TwhoyPM5rY2MDSS6</t>
  </si>
  <si>
    <t>https://maps.app.goo.gl/6scnYyP8iaWJak6g9</t>
  </si>
  <si>
    <t>https://maps.app.goo.gl/TCFwAto5z3eqUn3K8</t>
  </si>
  <si>
    <t>https://maps.app.goo.gl/j4E8nyjPagU7pMmz6</t>
  </si>
  <si>
    <t>https://maps.app.goo.gl/MaUrzHfoNKPYNyHN9</t>
  </si>
  <si>
    <t>https://maps.app.goo.gl/2ufUCSDjgZbZ3iBK8</t>
  </si>
  <si>
    <t>https://maps.app.goo.gl/HuaUA6v4F6JBLuxp9</t>
  </si>
  <si>
    <t>https://maps.app.goo.gl/XdoLtwfVbuG2q7mN9</t>
  </si>
  <si>
    <t>https://maps.app.goo.gl/cWc8K9ZZuNiT8tkR9</t>
  </si>
  <si>
    <t>https://maps.app.goo.gl/4evErsvR3PqUqha87</t>
  </si>
  <si>
    <t>https://maps.app.goo.gl/ZZ9ADCUrUJPKnf7A8</t>
  </si>
  <si>
    <t>https://maps.app.goo.gl/2zC6FtkNU2ruMrvLA</t>
  </si>
  <si>
    <t>101 Waneta, Estados Unidos</t>
  </si>
  <si>
    <t>102 Waneta, Estados Unidos</t>
  </si>
  <si>
    <t>103 Waneta, Estados Unidos</t>
  </si>
  <si>
    <t>104 Waneta, Estados Unidos</t>
  </si>
  <si>
    <t>105 Waneta, Estados Unidos</t>
  </si>
  <si>
    <t>106 Waneta, Estados Unidos</t>
  </si>
  <si>
    <t>107 Waneta, Estados Unidos</t>
  </si>
  <si>
    <t xml:space="preserve">Alhue, XIII Region  </t>
  </si>
  <si>
    <t xml:space="preserve">Atacama, III Region </t>
  </si>
  <si>
    <t xml:space="preserve">Buin, XIII Region </t>
  </si>
  <si>
    <t xml:space="preserve">Bulnes, XVI Region </t>
  </si>
  <si>
    <t xml:space="preserve">Calera de Tango, XIII Region </t>
  </si>
  <si>
    <t>Chillan, XVI Región</t>
  </si>
  <si>
    <t xml:space="preserve">Concon, V Region </t>
  </si>
  <si>
    <t>Curepto, VII Región</t>
  </si>
  <si>
    <t xml:space="preserve">El Huique, VI Region </t>
  </si>
  <si>
    <t>El Olivo, IV Región</t>
  </si>
  <si>
    <t>Graneros, VI Región</t>
  </si>
  <si>
    <t>Hijuelas, V Región</t>
  </si>
  <si>
    <t>Isla De Maipo, XIII Region</t>
  </si>
  <si>
    <t>La Palmilla, VII Región</t>
  </si>
  <si>
    <t>Las Cabras, VI Región</t>
  </si>
  <si>
    <t xml:space="preserve">Llaillay, V Region </t>
  </si>
  <si>
    <t>Longavi,VII Región</t>
  </si>
  <si>
    <t>Los Niches, VII Región</t>
  </si>
  <si>
    <t xml:space="preserve">Mallarauco, XIII Region </t>
  </si>
  <si>
    <t xml:space="preserve">Maria Pinto, XIII Region </t>
  </si>
  <si>
    <t>Maule, VII Región</t>
  </si>
  <si>
    <t xml:space="preserve">Melipilla, XIII Region </t>
  </si>
  <si>
    <t xml:space="preserve">Nogales, V Region </t>
  </si>
  <si>
    <t>Paine, XIII Region</t>
  </si>
  <si>
    <t>Pelequen, VI Región</t>
  </si>
  <si>
    <t xml:space="preserve">Peralillo, VI Region </t>
  </si>
  <si>
    <t>Pichidegua, VI Region</t>
  </si>
  <si>
    <t xml:space="preserve">Pirque, XIII Region </t>
  </si>
  <si>
    <t xml:space="preserve">Piura, Peru </t>
  </si>
  <si>
    <t>Pocochay, V Región</t>
  </si>
  <si>
    <t>Quinta Tilcoco, VI Region</t>
  </si>
  <si>
    <t xml:space="preserve">Requinoa, VI Region </t>
  </si>
  <si>
    <t xml:space="preserve">Osorno, X Region </t>
  </si>
  <si>
    <t xml:space="preserve">Sagrada Familia, VII Region </t>
  </si>
  <si>
    <t>San Clemente, VII Region</t>
  </si>
  <si>
    <t>San Javier, VII Región</t>
  </si>
  <si>
    <t xml:space="preserve">San Nicolas, VIII Region </t>
  </si>
  <si>
    <t xml:space="preserve">San Rafael, VII Region </t>
  </si>
  <si>
    <t>Santiago, XIII Region</t>
  </si>
  <si>
    <t xml:space="preserve">Santiago, XIII Region </t>
  </si>
  <si>
    <t xml:space="preserve">Talca, VII Region </t>
  </si>
  <si>
    <t xml:space="preserve">Trujillo, Peru </t>
  </si>
  <si>
    <t>Yerbas Buenas, VII Región</t>
  </si>
  <si>
    <t>Yumbel, VIII Región</t>
  </si>
  <si>
    <t xml:space="preserve">D100 </t>
  </si>
  <si>
    <t xml:space="preserve">H50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</si>
</sst>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&quot;-&quot;_ ;_ @_ "/>
  </numFmts>
  <fonts count="3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vertAlign val="superscript"/>
      <sz val="12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rgb="FF000000"/>
      <name val="Arial"/>
      <family val="2"/>
    </font>
    <font>
      <b/>
      <sz val="10"/>
      <name val="Arial Narrow"/>
      <family val="2"/>
    </font>
    <font>
      <sz val="10"/>
      <name val="Arial Narrow"/>
      <family val="2"/>
    </font>
    <font>
      <sz val="8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FF0000"/>
      <name val="Arial Narrow"/>
      <family val="2"/>
    </font>
    <font>
      <u/>
      <sz val="10"/>
      <color theme="10"/>
      <name val="Arial"/>
      <family val="2"/>
    </font>
    <font>
      <u/>
      <sz val="10"/>
      <color rgb="FFFF0000"/>
      <name val="Arial"/>
      <family val="2"/>
    </font>
    <font>
      <sz val="10"/>
      <color rgb="FFFF0000"/>
      <name val="Arial"/>
      <family val="2"/>
    </font>
    <font>
      <sz val="12"/>
      <name val="Calibri"/>
      <family val="2"/>
      <scheme val="minor"/>
    </font>
    <font>
      <sz val="10"/>
      <color theme="1"/>
      <name val="Arial Narrow"/>
      <family val="2"/>
    </font>
    <font>
      <b/>
      <sz val="10"/>
      <color rgb="FF000000"/>
      <name val="Arial Narrow"/>
      <family val="2"/>
    </font>
    <font>
      <b/>
      <sz val="14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0"/>
      <color theme="10"/>
      <name val="Arial Narrow"/>
      <family val="2"/>
    </font>
    <font>
      <sz val="10"/>
      <color rgb="FF000000"/>
      <name val="Arial Narrow"/>
      <family val="2"/>
    </font>
    <font>
      <sz val="10"/>
      <color theme="3"/>
      <name val="Arial Narrow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name val="Arial Narrow"/>
      <family val="2"/>
    </font>
    <font>
      <u/>
      <sz val="10"/>
      <name val="Arial"/>
      <family val="2"/>
    </font>
    <font>
      <b/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rgb="FF92D05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6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5">
    <xf numFmtId="0" fontId="0" fillId="0" borderId="0"/>
    <xf numFmtId="164" fontId="2" fillId="0" borderId="0" applyFont="0" applyFill="0" applyBorder="0" applyAlignment="0" applyProtection="0"/>
    <xf numFmtId="0" fontId="9" fillId="0" borderId="0"/>
    <xf numFmtId="0" fontId="16" fillId="0" borderId="0" applyNumberFormat="0" applyFill="0" applyBorder="0" applyAlignment="0" applyProtection="0"/>
    <xf numFmtId="0" fontId="18" fillId="0" borderId="0" applyNumberFormat="0" applyFill="0" applyBorder="0" applyAlignment="0" applyProtection="0"/>
  </cellStyleXfs>
  <cellXfs count="288">
    <xf numFmtId="0" fontId="0" fillId="0" borderId="0" xfId="0"/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3" fillId="3" borderId="13" xfId="0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0" fontId="4" fillId="0" borderId="19" xfId="0" applyFont="1" applyBorder="1" applyAlignment="1">
      <alignment horizontal="left" vertical="center"/>
    </xf>
    <xf numFmtId="0" fontId="6" fillId="2" borderId="23" xfId="0" applyFont="1" applyFill="1" applyBorder="1" applyAlignment="1">
      <alignment horizontal="left" vertical="center" wrapText="1"/>
    </xf>
    <xf numFmtId="0" fontId="4" fillId="0" borderId="19" xfId="0" applyFont="1" applyBorder="1" applyAlignment="1">
      <alignment horizontal="left"/>
    </xf>
    <xf numFmtId="0" fontId="4" fillId="4" borderId="23" xfId="0" applyFont="1" applyFill="1" applyBorder="1" applyAlignment="1" applyProtection="1">
      <alignment horizontal="center" vertical="center" wrapText="1"/>
      <protection locked="0"/>
    </xf>
    <xf numFmtId="0" fontId="4" fillId="0" borderId="21" xfId="0" applyFont="1" applyBorder="1" applyAlignment="1" applyProtection="1">
      <alignment horizontal="left" vertical="center"/>
      <protection locked="0"/>
    </xf>
    <xf numFmtId="0" fontId="4" fillId="0" borderId="29" xfId="0" applyFont="1" applyBorder="1" applyAlignment="1" applyProtection="1">
      <alignment horizontal="left" vertical="center"/>
      <protection locked="0"/>
    </xf>
    <xf numFmtId="0" fontId="5" fillId="0" borderId="0" xfId="0" applyFont="1" applyAlignment="1">
      <alignment horizontal="center"/>
    </xf>
    <xf numFmtId="0" fontId="4" fillId="0" borderId="17" xfId="0" applyFont="1" applyBorder="1" applyAlignment="1">
      <alignment horizontal="left"/>
    </xf>
    <xf numFmtId="0" fontId="4" fillId="0" borderId="16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2" borderId="23" xfId="0" applyFont="1" applyFill="1" applyBorder="1" applyAlignment="1">
      <alignment horizontal="center" wrapText="1"/>
    </xf>
    <xf numFmtId="0" fontId="6" fillId="2" borderId="8" xfId="0" applyFont="1" applyFill="1" applyBorder="1" applyAlignment="1">
      <alignment horizontal="center" wrapText="1"/>
    </xf>
    <xf numFmtId="0" fontId="6" fillId="2" borderId="23" xfId="0" applyFont="1" applyFill="1" applyBorder="1" applyAlignment="1">
      <alignment horizontal="left" wrapText="1"/>
    </xf>
    <xf numFmtId="0" fontId="6" fillId="2" borderId="8" xfId="0" applyFont="1" applyFill="1" applyBorder="1" applyAlignment="1">
      <alignment horizontal="left" wrapText="1"/>
    </xf>
    <xf numFmtId="0" fontId="6" fillId="2" borderId="24" xfId="0" applyFont="1" applyFill="1" applyBorder="1" applyAlignment="1">
      <alignment horizontal="left" wrapText="1"/>
    </xf>
    <xf numFmtId="0" fontId="6" fillId="2" borderId="1" xfId="0" applyFont="1" applyFill="1" applyBorder="1" applyAlignment="1">
      <alignment horizontal="left" wrapText="1"/>
    </xf>
    <xf numFmtId="0" fontId="6" fillId="2" borderId="3" xfId="0" applyFont="1" applyFill="1" applyBorder="1" applyAlignment="1">
      <alignment horizontal="left" wrapText="1"/>
    </xf>
    <xf numFmtId="0" fontId="6" fillId="2" borderId="26" xfId="0" applyFont="1" applyFill="1" applyBorder="1" applyAlignment="1">
      <alignment horizontal="center" wrapText="1"/>
    </xf>
    <xf numFmtId="0" fontId="6" fillId="2" borderId="1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 wrapText="1"/>
    </xf>
    <xf numFmtId="14" fontId="4" fillId="4" borderId="13" xfId="0" applyNumberFormat="1" applyFont="1" applyFill="1" applyBorder="1" applyAlignment="1">
      <alignment horizontal="center" vertical="center"/>
    </xf>
    <xf numFmtId="0" fontId="4" fillId="4" borderId="13" xfId="1" applyNumberFormat="1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 wrapText="1"/>
    </xf>
    <xf numFmtId="0" fontId="4" fillId="4" borderId="13" xfId="0" applyFont="1" applyFill="1" applyBorder="1" applyAlignment="1">
      <alignment horizontal="center" vertical="center"/>
    </xf>
    <xf numFmtId="0" fontId="6" fillId="2" borderId="14" xfId="0" applyFont="1" applyFill="1" applyBorder="1" applyAlignment="1">
      <alignment horizontal="center" vertical="center" wrapText="1"/>
    </xf>
    <xf numFmtId="14" fontId="4" fillId="4" borderId="14" xfId="0" applyNumberFormat="1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/>
    </xf>
    <xf numFmtId="0" fontId="4" fillId="0" borderId="20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49" fontId="10" fillId="5" borderId="10" xfId="0" applyNumberFormat="1" applyFont="1" applyFill="1" applyBorder="1" applyAlignment="1">
      <alignment horizontal="left" vertical="center"/>
    </xf>
    <xf numFmtId="49" fontId="10" fillId="5" borderId="9" xfId="0" applyNumberFormat="1" applyFont="1" applyFill="1" applyBorder="1" applyAlignment="1">
      <alignment horizontal="center" vertical="center" wrapText="1"/>
    </xf>
    <xf numFmtId="49" fontId="10" fillId="5" borderId="10" xfId="0" applyNumberFormat="1" applyFont="1" applyFill="1" applyBorder="1" applyAlignment="1">
      <alignment horizontal="center" vertical="center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10" xfId="0" applyFont="1" applyBorder="1" applyAlignment="1">
      <alignment horizontal="left" vertical="center"/>
    </xf>
    <xf numFmtId="0" fontId="17" fillId="0" borderId="9" xfId="0" applyFont="1" applyBorder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left" vertical="center"/>
    </xf>
    <xf numFmtId="0" fontId="11" fillId="0" borderId="13" xfId="0" applyFont="1" applyBorder="1" applyAlignment="1">
      <alignment horizontal="left" vertical="center"/>
    </xf>
    <xf numFmtId="0" fontId="11" fillId="0" borderId="12" xfId="0" applyFont="1" applyBorder="1" applyAlignment="1">
      <alignment horizontal="left" vertical="center"/>
    </xf>
    <xf numFmtId="0" fontId="11" fillId="0" borderId="12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7" fillId="0" borderId="12" xfId="0" applyFont="1" applyBorder="1" applyAlignment="1">
      <alignment horizontal="left" vertical="center"/>
    </xf>
    <xf numFmtId="49" fontId="10" fillId="5" borderId="13" xfId="0" applyNumberFormat="1" applyFont="1" applyFill="1" applyBorder="1" applyAlignment="1">
      <alignment horizontal="center" vertical="center"/>
    </xf>
    <xf numFmtId="49" fontId="10" fillId="5" borderId="11" xfId="0" applyNumberFormat="1" applyFont="1" applyFill="1" applyBorder="1" applyAlignment="1">
      <alignment horizontal="center" vertical="center"/>
    </xf>
    <xf numFmtId="49" fontId="10" fillId="5" borderId="9" xfId="0" applyNumberFormat="1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/>
    </xf>
    <xf numFmtId="0" fontId="17" fillId="0" borderId="13" xfId="0" applyFont="1" applyBorder="1" applyAlignment="1">
      <alignment horizontal="left" vertical="center"/>
    </xf>
    <xf numFmtId="0" fontId="17" fillId="0" borderId="11" xfId="0" applyFont="1" applyBorder="1" applyAlignment="1">
      <alignment horizontal="center" vertical="center"/>
    </xf>
    <xf numFmtId="0" fontId="19" fillId="0" borderId="13" xfId="3" applyFont="1" applyBorder="1" applyAlignment="1">
      <alignment horizontal="left" vertical="center"/>
    </xf>
    <xf numFmtId="0" fontId="16" fillId="0" borderId="13" xfId="3" applyBorder="1" applyAlignment="1">
      <alignment horizontal="left" vertical="center"/>
    </xf>
    <xf numFmtId="0" fontId="17" fillId="0" borderId="13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left" vertical="center" wrapText="1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horizontal="center"/>
    </xf>
    <xf numFmtId="164" fontId="5" fillId="0" borderId="0" xfId="1" applyFont="1" applyAlignment="1">
      <alignment horizontal="center"/>
    </xf>
    <xf numFmtId="164" fontId="6" fillId="2" borderId="13" xfId="1" applyFont="1" applyFill="1" applyBorder="1" applyAlignment="1">
      <alignment horizontal="center" vertical="center" wrapText="1"/>
    </xf>
    <xf numFmtId="164" fontId="4" fillId="4" borderId="13" xfId="1" applyFont="1" applyFill="1" applyBorder="1" applyAlignment="1">
      <alignment horizontal="center" vertical="center"/>
    </xf>
    <xf numFmtId="0" fontId="17" fillId="0" borderId="33" xfId="0" applyFont="1" applyBorder="1" applyAlignment="1">
      <alignment horizontal="center" vertical="center"/>
    </xf>
    <xf numFmtId="0" fontId="17" fillId="0" borderId="35" xfId="0" applyFont="1" applyBorder="1" applyAlignment="1">
      <alignment horizontal="center" vertical="center"/>
    </xf>
    <xf numFmtId="14" fontId="11" fillId="0" borderId="13" xfId="0" applyNumberFormat="1" applyFont="1" applyBorder="1" applyAlignment="1">
      <alignment horizontal="center" vertical="center"/>
    </xf>
    <xf numFmtId="0" fontId="22" fillId="0" borderId="13" xfId="0" applyFont="1" applyBorder="1"/>
    <xf numFmtId="0" fontId="6" fillId="2" borderId="37" xfId="0" applyFont="1" applyFill="1" applyBorder="1" applyAlignment="1">
      <alignment horizontal="center" wrapText="1"/>
    </xf>
    <xf numFmtId="0" fontId="23" fillId="2" borderId="5" xfId="0" applyFont="1" applyFill="1" applyBorder="1" applyAlignment="1">
      <alignment horizontal="left" vertical="center"/>
    </xf>
    <xf numFmtId="0" fontId="22" fillId="0" borderId="0" xfId="0" applyFont="1"/>
    <xf numFmtId="0" fontId="4" fillId="0" borderId="6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14" fontId="4" fillId="4" borderId="0" xfId="0" applyNumberFormat="1" applyFont="1" applyFill="1" applyAlignment="1">
      <alignment horizontal="center" vertical="center"/>
    </xf>
    <xf numFmtId="164" fontId="4" fillId="4" borderId="0" xfId="1" applyFont="1" applyFill="1" applyBorder="1" applyAlignment="1">
      <alignment horizontal="center" vertical="center"/>
    </xf>
    <xf numFmtId="0" fontId="4" fillId="4" borderId="0" xfId="1" applyNumberFormat="1" applyFont="1" applyFill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5" fillId="2" borderId="38" xfId="0" applyFont="1" applyFill="1" applyBorder="1" applyAlignment="1">
      <alignment horizontal="center" wrapText="1"/>
    </xf>
    <xf numFmtId="0" fontId="4" fillId="4" borderId="39" xfId="0" applyFont="1" applyFill="1" applyBorder="1" applyAlignment="1" applyProtection="1">
      <alignment horizontal="center" vertical="center" wrapText="1"/>
      <protection locked="0"/>
    </xf>
    <xf numFmtId="0" fontId="4" fillId="4" borderId="40" xfId="0" applyFont="1" applyFill="1" applyBorder="1" applyAlignment="1" applyProtection="1">
      <alignment horizontal="center" vertical="center" wrapText="1"/>
      <protection locked="0"/>
    </xf>
    <xf numFmtId="0" fontId="4" fillId="4" borderId="41" xfId="0" applyFont="1" applyFill="1" applyBorder="1" applyAlignment="1" applyProtection="1">
      <alignment horizontal="center" vertical="center" wrapText="1"/>
      <protection locked="0"/>
    </xf>
    <xf numFmtId="0" fontId="4" fillId="4" borderId="19" xfId="0" applyFont="1" applyFill="1" applyBorder="1" applyAlignment="1" applyProtection="1">
      <alignment horizontal="center" vertical="center" wrapText="1"/>
      <protection locked="0"/>
    </xf>
    <xf numFmtId="0" fontId="4" fillId="0" borderId="21" xfId="0" applyFont="1" applyBorder="1" applyAlignment="1" applyProtection="1">
      <alignment vertical="center"/>
      <protection locked="0"/>
    </xf>
    <xf numFmtId="0" fontId="4" fillId="0" borderId="0" xfId="0" applyFont="1" applyAlignment="1" applyProtection="1">
      <alignment horizontal="center" wrapText="1"/>
      <protection locked="0"/>
    </xf>
    <xf numFmtId="0" fontId="4" fillId="4" borderId="7" xfId="0" applyFont="1" applyFill="1" applyBorder="1" applyAlignment="1" applyProtection="1">
      <alignment horizontal="center" vertical="center" wrapText="1"/>
      <protection locked="0"/>
    </xf>
    <xf numFmtId="0" fontId="4" fillId="4" borderId="0" xfId="0" applyFont="1" applyFill="1" applyAlignment="1" applyProtection="1">
      <alignment horizontal="center" vertical="center" wrapText="1"/>
      <protection locked="0"/>
    </xf>
    <xf numFmtId="0" fontId="4" fillId="4" borderId="4" xfId="0" applyFont="1" applyFill="1" applyBorder="1" applyAlignment="1" applyProtection="1">
      <alignment horizontal="center" vertical="center" wrapText="1"/>
      <protection locked="0"/>
    </xf>
    <xf numFmtId="0" fontId="15" fillId="4" borderId="45" xfId="0" applyFont="1" applyFill="1" applyBorder="1" applyAlignment="1">
      <alignment vertical="center" wrapText="1"/>
    </xf>
    <xf numFmtId="0" fontId="15" fillId="4" borderId="46" xfId="0" applyFont="1" applyFill="1" applyBorder="1" applyAlignment="1">
      <alignment vertical="center" wrapText="1"/>
    </xf>
    <xf numFmtId="0" fontId="24" fillId="0" borderId="0" xfId="0" applyFont="1"/>
    <xf numFmtId="0" fontId="24" fillId="0" borderId="20" xfId="0" applyFont="1" applyBorder="1"/>
    <xf numFmtId="0" fontId="21" fillId="0" borderId="6" xfId="0" applyFont="1" applyBorder="1" applyAlignment="1">
      <alignment vertical="center"/>
    </xf>
    <xf numFmtId="0" fontId="21" fillId="0" borderId="2" xfId="0" applyFont="1" applyBorder="1" applyAlignment="1">
      <alignment vertical="center"/>
    </xf>
    <xf numFmtId="0" fontId="21" fillId="0" borderId="26" xfId="0" applyFont="1" applyBorder="1" applyAlignment="1">
      <alignment vertical="center"/>
    </xf>
    <xf numFmtId="0" fontId="5" fillId="4" borderId="28" xfId="0" applyFont="1" applyFill="1" applyBorder="1" applyAlignment="1" applyProtection="1">
      <alignment vertical="center" wrapText="1"/>
      <protection locked="0"/>
    </xf>
    <xf numFmtId="0" fontId="4" fillId="0" borderId="20" xfId="0" applyFont="1" applyBorder="1" applyAlignment="1">
      <alignment horizontal="left" vertical="center"/>
    </xf>
    <xf numFmtId="0" fontId="4" fillId="4" borderId="47" xfId="0" applyFont="1" applyFill="1" applyBorder="1" applyAlignment="1" applyProtection="1">
      <alignment horizontal="center" vertical="center" wrapText="1"/>
      <protection locked="0"/>
    </xf>
    <xf numFmtId="0" fontId="4" fillId="4" borderId="27" xfId="0" applyFont="1" applyFill="1" applyBorder="1" applyAlignment="1" applyProtection="1">
      <alignment horizontal="center" vertical="center" wrapText="1"/>
      <protection locked="0"/>
    </xf>
    <xf numFmtId="0" fontId="4" fillId="4" borderId="25" xfId="0" applyFont="1" applyFill="1" applyBorder="1" applyAlignment="1" applyProtection="1">
      <alignment horizontal="center" vertical="center" wrapText="1"/>
      <protection locked="0"/>
    </xf>
    <xf numFmtId="0" fontId="15" fillId="4" borderId="4" xfId="0" applyFont="1" applyFill="1" applyBorder="1" applyAlignment="1">
      <alignment horizontal="center" vertical="center" wrapText="1"/>
    </xf>
    <xf numFmtId="0" fontId="15" fillId="4" borderId="7" xfId="0" applyFont="1" applyFill="1" applyBorder="1" applyAlignment="1">
      <alignment horizontal="center" vertical="center" wrapText="1"/>
    </xf>
    <xf numFmtId="0" fontId="5" fillId="6" borderId="8" xfId="0" applyFont="1" applyFill="1" applyBorder="1" applyAlignment="1">
      <alignment vertical="center" wrapText="1"/>
    </xf>
    <xf numFmtId="0" fontId="4" fillId="0" borderId="21" xfId="0" applyFont="1" applyBorder="1" applyAlignment="1" applyProtection="1">
      <alignment horizontal="center" vertical="center" wrapText="1"/>
      <protection locked="0"/>
    </xf>
    <xf numFmtId="0" fontId="4" fillId="0" borderId="48" xfId="0" applyFont="1" applyBorder="1" applyAlignment="1" applyProtection="1">
      <alignment horizontal="center" vertical="center" wrapText="1"/>
      <protection locked="0"/>
    </xf>
    <xf numFmtId="0" fontId="1" fillId="4" borderId="21" xfId="0" applyFont="1" applyFill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/>
    </xf>
    <xf numFmtId="0" fontId="4" fillId="0" borderId="29" xfId="0" applyFont="1" applyBorder="1" applyAlignment="1" applyProtection="1">
      <alignment horizontal="center" vertical="center" wrapText="1"/>
      <protection locked="0"/>
    </xf>
    <xf numFmtId="0" fontId="1" fillId="4" borderId="21" xfId="0" applyFont="1" applyFill="1" applyBorder="1" applyAlignment="1" applyProtection="1">
      <alignment horizontal="center" vertical="center" wrapText="1"/>
      <protection locked="0"/>
    </xf>
    <xf numFmtId="0" fontId="5" fillId="6" borderId="23" xfId="0" applyFont="1" applyFill="1" applyBorder="1" applyAlignment="1">
      <alignment horizontal="left" vertical="center" wrapText="1"/>
    </xf>
    <xf numFmtId="0" fontId="4" fillId="0" borderId="8" xfId="0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14" fontId="4" fillId="0" borderId="21" xfId="0" applyNumberFormat="1" applyFont="1" applyBorder="1" applyAlignment="1" applyProtection="1">
      <alignment horizontal="center" vertical="center" wrapText="1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22" xfId="0" applyFont="1" applyFill="1" applyBorder="1" applyAlignment="1">
      <alignment horizontal="left" wrapText="1"/>
    </xf>
    <xf numFmtId="0" fontId="6" fillId="2" borderId="49" xfId="0" applyFont="1" applyFill="1" applyBorder="1" applyAlignment="1">
      <alignment horizontal="center" wrapText="1"/>
    </xf>
    <xf numFmtId="0" fontId="1" fillId="4" borderId="44" xfId="0" applyFont="1" applyFill="1" applyBorder="1" applyAlignment="1">
      <alignment horizontal="left" vertical="center" wrapText="1"/>
    </xf>
    <xf numFmtId="0" fontId="1" fillId="4" borderId="36" xfId="0" applyFont="1" applyFill="1" applyBorder="1" applyAlignment="1">
      <alignment horizontal="center" vertical="center" wrapText="1"/>
    </xf>
    <xf numFmtId="0" fontId="1" fillId="4" borderId="41" xfId="0" applyFont="1" applyFill="1" applyBorder="1" applyAlignment="1">
      <alignment horizontal="center" vertical="center" wrapText="1"/>
    </xf>
    <xf numFmtId="0" fontId="15" fillId="4" borderId="50" xfId="0" applyFont="1" applyFill="1" applyBorder="1" applyAlignment="1">
      <alignment vertical="center" wrapText="1"/>
    </xf>
    <xf numFmtId="0" fontId="26" fillId="0" borderId="13" xfId="3" applyFont="1" applyBorder="1" applyAlignment="1">
      <alignment horizontal="left" vertical="center"/>
    </xf>
    <xf numFmtId="14" fontId="11" fillId="0" borderId="9" xfId="0" applyNumberFormat="1" applyFont="1" applyBorder="1" applyAlignment="1">
      <alignment horizontal="center" vertical="center"/>
    </xf>
    <xf numFmtId="2" fontId="4" fillId="4" borderId="13" xfId="0" applyNumberFormat="1" applyFont="1" applyFill="1" applyBorder="1" applyAlignment="1">
      <alignment horizontal="center" vertical="center"/>
    </xf>
    <xf numFmtId="0" fontId="4" fillId="7" borderId="0" xfId="0" applyFont="1" applyFill="1" applyAlignment="1">
      <alignment horizontal="left" vertical="center"/>
    </xf>
    <xf numFmtId="0" fontId="8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left"/>
    </xf>
    <xf numFmtId="0" fontId="6" fillId="7" borderId="15" xfId="0" applyFont="1" applyFill="1" applyBorder="1" applyAlignment="1">
      <alignment horizontal="center" vertical="center" wrapText="1"/>
    </xf>
    <xf numFmtId="0" fontId="4" fillId="7" borderId="13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164" fontId="4" fillId="7" borderId="0" xfId="1" applyFont="1" applyFill="1" applyAlignment="1">
      <alignment horizontal="center" vertical="center"/>
    </xf>
    <xf numFmtId="0" fontId="4" fillId="7" borderId="0" xfId="0" applyFont="1" applyFill="1" applyAlignment="1">
      <alignment horizontal="center"/>
    </xf>
    <xf numFmtId="0" fontId="11" fillId="0" borderId="51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0" borderId="33" xfId="0" applyFont="1" applyBorder="1" applyAlignment="1">
      <alignment horizontal="center" vertical="center"/>
    </xf>
    <xf numFmtId="0" fontId="11" fillId="0" borderId="54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11" fillId="0" borderId="14" xfId="0" applyFont="1" applyBorder="1" applyAlignment="1">
      <alignment horizontal="center" vertical="center"/>
    </xf>
    <xf numFmtId="0" fontId="27" fillId="0" borderId="13" xfId="0" applyFont="1" applyBorder="1" applyAlignment="1">
      <alignment horizontal="center" vertical="center"/>
    </xf>
    <xf numFmtId="0" fontId="11" fillId="0" borderId="36" xfId="0" applyFont="1" applyBorder="1" applyAlignment="1">
      <alignment horizontal="center" vertical="center"/>
    </xf>
    <xf numFmtId="0" fontId="11" fillId="0" borderId="55" xfId="0" applyFont="1" applyBorder="1" applyAlignment="1">
      <alignment horizontal="center" vertical="center"/>
    </xf>
    <xf numFmtId="0" fontId="27" fillId="0" borderId="10" xfId="0" applyFont="1" applyBorder="1" applyAlignment="1">
      <alignment vertical="center"/>
    </xf>
    <xf numFmtId="0" fontId="26" fillId="0" borderId="13" xfId="3" applyFont="1" applyBorder="1" applyAlignment="1">
      <alignment vertical="center"/>
    </xf>
    <xf numFmtId="0" fontId="27" fillId="0" borderId="9" xfId="0" applyFont="1" applyBorder="1" applyAlignment="1">
      <alignment horizontal="left" vertical="center"/>
    </xf>
    <xf numFmtId="0" fontId="16" fillId="0" borderId="13" xfId="3" applyBorder="1" applyAlignment="1">
      <alignment vertical="center"/>
    </xf>
    <xf numFmtId="0" fontId="18" fillId="0" borderId="13" xfId="4" applyBorder="1" applyAlignment="1">
      <alignment horizontal="left" vertical="center"/>
    </xf>
    <xf numFmtId="0" fontId="16" fillId="0" borderId="13" xfId="3" applyBorder="1" applyAlignment="1">
      <alignment horizontal="center" vertical="center"/>
    </xf>
    <xf numFmtId="0" fontId="27" fillId="0" borderId="13" xfId="0" applyFont="1" applyBorder="1" applyAlignment="1">
      <alignment vertical="center"/>
    </xf>
    <xf numFmtId="0" fontId="31" fillId="0" borderId="9" xfId="0" applyFont="1" applyBorder="1" applyAlignment="1">
      <alignment horizontal="left" vertical="center"/>
    </xf>
    <xf numFmtId="0" fontId="16" fillId="0" borderId="9" xfId="3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32" fillId="0" borderId="13" xfId="3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 wrapText="1"/>
    </xf>
    <xf numFmtId="0" fontId="11" fillId="0" borderId="9" xfId="1" applyNumberFormat="1" applyFont="1" applyBorder="1" applyAlignment="1">
      <alignment horizontal="center" vertical="center"/>
    </xf>
    <xf numFmtId="0" fontId="11" fillId="0" borderId="9" xfId="0" applyFont="1" applyBorder="1" applyAlignment="1">
      <alignment horizontal="left"/>
    </xf>
    <xf numFmtId="0" fontId="11" fillId="0" borderId="9" xfId="0" applyFont="1" applyBorder="1" applyAlignment="1">
      <alignment horizontal="center"/>
    </xf>
    <xf numFmtId="0" fontId="11" fillId="0" borderId="10" xfId="0" applyFont="1" applyBorder="1" applyAlignment="1">
      <alignment horizontal="left"/>
    </xf>
    <xf numFmtId="0" fontId="11" fillId="0" borderId="9" xfId="0" applyFont="1" applyBorder="1" applyAlignment="1">
      <alignment horizontal="left" vertical="center" wrapText="1"/>
    </xf>
    <xf numFmtId="0" fontId="28" fillId="0" borderId="9" xfId="0" applyFont="1" applyBorder="1" applyAlignment="1">
      <alignment horizontal="left" vertical="center"/>
    </xf>
    <xf numFmtId="0" fontId="28" fillId="0" borderId="10" xfId="0" applyFont="1" applyBorder="1" applyAlignment="1">
      <alignment horizontal="left" vertical="center"/>
    </xf>
    <xf numFmtId="0" fontId="28" fillId="0" borderId="13" xfId="0" applyFont="1" applyBorder="1" applyAlignment="1">
      <alignment horizontal="left" vertical="center"/>
    </xf>
    <xf numFmtId="0" fontId="11" fillId="0" borderId="34" xfId="0" applyFont="1" applyBorder="1" applyAlignment="1">
      <alignment horizontal="left" vertical="center"/>
    </xf>
    <xf numFmtId="0" fontId="16" fillId="0" borderId="33" xfId="3" applyBorder="1" applyAlignment="1">
      <alignment horizontal="left" vertical="center"/>
    </xf>
    <xf numFmtId="0" fontId="11" fillId="0" borderId="51" xfId="0" applyFont="1" applyBorder="1" applyAlignment="1">
      <alignment horizontal="left" vertical="center"/>
    </xf>
    <xf numFmtId="0" fontId="11" fillId="0" borderId="56" xfId="0" applyFont="1" applyBorder="1" applyAlignment="1">
      <alignment horizontal="left" vertical="center"/>
    </xf>
    <xf numFmtId="0" fontId="16" fillId="0" borderId="36" xfId="3" applyBorder="1" applyAlignment="1">
      <alignment horizontal="left" vertical="center"/>
    </xf>
    <xf numFmtId="1" fontId="27" fillId="0" borderId="9" xfId="0" applyNumberFormat="1" applyFont="1" applyBorder="1" applyAlignment="1">
      <alignment horizontal="center" vertical="center"/>
    </xf>
    <xf numFmtId="0" fontId="27" fillId="0" borderId="35" xfId="0" applyFont="1" applyBorder="1" applyAlignment="1">
      <alignment horizontal="center" vertical="center"/>
    </xf>
    <xf numFmtId="0" fontId="27" fillId="0" borderId="12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11" fillId="0" borderId="33" xfId="0" applyFont="1" applyBorder="1" applyAlignment="1">
      <alignment horizontal="left" vertical="center"/>
    </xf>
    <xf numFmtId="0" fontId="16" fillId="0" borderId="33" xfId="3" applyBorder="1" applyAlignment="1">
      <alignment horizontal="center" vertical="center"/>
    </xf>
    <xf numFmtId="0" fontId="11" fillId="0" borderId="54" xfId="0" applyFont="1" applyBorder="1" applyAlignment="1">
      <alignment horizontal="left" vertical="center"/>
    </xf>
    <xf numFmtId="0" fontId="11" fillId="0" borderId="58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0" fontId="11" fillId="0" borderId="59" xfId="0" applyFont="1" applyBorder="1" applyAlignment="1">
      <alignment horizontal="center" vertical="center"/>
    </xf>
    <xf numFmtId="0" fontId="18" fillId="0" borderId="36" xfId="4" applyBorder="1" applyAlignment="1">
      <alignment horizontal="left" vertical="center"/>
    </xf>
    <xf numFmtId="0" fontId="18" fillId="0" borderId="33" xfId="4" applyBorder="1" applyAlignment="1">
      <alignment horizontal="left" vertical="center"/>
    </xf>
    <xf numFmtId="0" fontId="16" fillId="0" borderId="12" xfId="3" applyBorder="1" applyAlignment="1">
      <alignment horizontal="left" vertical="center"/>
    </xf>
    <xf numFmtId="0" fontId="11" fillId="0" borderId="58" xfId="0" applyFont="1" applyBorder="1" applyAlignment="1">
      <alignment horizontal="left" vertical="center"/>
    </xf>
    <xf numFmtId="0" fontId="16" fillId="0" borderId="54" xfId="3" applyBorder="1" applyAlignment="1">
      <alignment horizontal="left" vertical="center"/>
    </xf>
    <xf numFmtId="14" fontId="11" fillId="0" borderId="12" xfId="0" applyNumberFormat="1" applyFont="1" applyBorder="1" applyAlignment="1">
      <alignment horizontal="center" vertical="center"/>
    </xf>
    <xf numFmtId="0" fontId="27" fillId="0" borderId="13" xfId="0" applyFont="1" applyBorder="1" applyAlignment="1">
      <alignment horizontal="left" vertical="center"/>
    </xf>
    <xf numFmtId="0" fontId="26" fillId="0" borderId="33" xfId="3" applyFont="1" applyBorder="1" applyAlignment="1">
      <alignment vertical="center"/>
    </xf>
    <xf numFmtId="0" fontId="11" fillId="0" borderId="36" xfId="0" applyFont="1" applyBorder="1" applyAlignment="1">
      <alignment horizontal="left" vertical="center"/>
    </xf>
    <xf numFmtId="0" fontId="27" fillId="0" borderId="36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 vertical="center"/>
    </xf>
    <xf numFmtId="0" fontId="11" fillId="0" borderId="60" xfId="0" applyFont="1" applyBorder="1" applyAlignment="1">
      <alignment horizontal="center" vertical="center"/>
    </xf>
    <xf numFmtId="0" fontId="11" fillId="0" borderId="13" xfId="0" applyFont="1" applyBorder="1" applyAlignment="1">
      <alignment horizontal="center"/>
    </xf>
    <xf numFmtId="0" fontId="11" fillId="0" borderId="13" xfId="0" applyFont="1" applyBorder="1" applyAlignment="1">
      <alignment horizontal="left"/>
    </xf>
    <xf numFmtId="0" fontId="11" fillId="0" borderId="61" xfId="0" applyFont="1" applyBorder="1" applyAlignment="1">
      <alignment horizontal="center" vertical="center"/>
    </xf>
    <xf numFmtId="0" fontId="27" fillId="0" borderId="11" xfId="0" applyFont="1" applyBorder="1" applyAlignment="1">
      <alignment vertical="center"/>
    </xf>
    <xf numFmtId="0" fontId="16" fillId="0" borderId="9" xfId="3" applyBorder="1" applyAlignment="1">
      <alignment horizontal="center" vertical="center"/>
    </xf>
    <xf numFmtId="0" fontId="18" fillId="0" borderId="9" xfId="4" applyBorder="1" applyAlignment="1">
      <alignment horizontal="left" vertical="center"/>
    </xf>
    <xf numFmtId="0" fontId="17" fillId="0" borderId="12" xfId="0" applyFont="1" applyBorder="1" applyAlignment="1">
      <alignment horizontal="center" vertical="center"/>
    </xf>
    <xf numFmtId="0" fontId="17" fillId="0" borderId="34" xfId="0" applyFont="1" applyBorder="1" applyAlignment="1">
      <alignment horizontal="left" vertical="center"/>
    </xf>
    <xf numFmtId="0" fontId="26" fillId="0" borderId="33" xfId="3" applyFont="1" applyBorder="1" applyAlignment="1">
      <alignment horizontal="left" vertical="center"/>
    </xf>
    <xf numFmtId="0" fontId="22" fillId="0" borderId="13" xfId="0" applyFont="1" applyBorder="1" applyAlignment="1">
      <alignment wrapText="1"/>
    </xf>
    <xf numFmtId="0" fontId="4" fillId="0" borderId="6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14" fillId="0" borderId="19" xfId="0" applyFont="1" applyBorder="1" applyAlignment="1">
      <alignment horizontal="center" wrapText="1"/>
    </xf>
    <xf numFmtId="0" fontId="14" fillId="0" borderId="0" xfId="0" applyFont="1" applyAlignment="1">
      <alignment horizontal="center" wrapText="1"/>
    </xf>
    <xf numFmtId="0" fontId="14" fillId="0" borderId="20" xfId="0" applyFont="1" applyBorder="1" applyAlignment="1">
      <alignment horizontal="center" wrapText="1"/>
    </xf>
    <xf numFmtId="0" fontId="14" fillId="0" borderId="30" xfId="0" applyFont="1" applyBorder="1" applyAlignment="1">
      <alignment horizontal="center"/>
    </xf>
    <xf numFmtId="0" fontId="14" fillId="0" borderId="31" xfId="0" applyFont="1" applyBorder="1" applyAlignment="1">
      <alignment horizontal="center"/>
    </xf>
    <xf numFmtId="0" fontId="14" fillId="0" borderId="32" xfId="0" applyFont="1" applyBorder="1" applyAlignment="1">
      <alignment horizontal="center"/>
    </xf>
    <xf numFmtId="0" fontId="4" fillId="0" borderId="6" xfId="0" applyFont="1" applyBorder="1" applyAlignment="1" applyProtection="1">
      <alignment horizontal="left" vertical="center"/>
      <protection locked="0"/>
    </xf>
    <xf numFmtId="0" fontId="4" fillId="0" borderId="2" xfId="0" applyFont="1" applyBorder="1" applyAlignment="1" applyProtection="1">
      <alignment horizontal="left" vertical="center"/>
      <protection locked="0"/>
    </xf>
    <xf numFmtId="0" fontId="4" fillId="0" borderId="26" xfId="0" applyFont="1" applyBorder="1" applyAlignment="1" applyProtection="1">
      <alignment horizontal="left" vertical="center"/>
      <protection locked="0"/>
    </xf>
    <xf numFmtId="0" fontId="24" fillId="0" borderId="22" xfId="0" applyFont="1" applyBorder="1" applyAlignment="1">
      <alignment horizontal="center"/>
    </xf>
    <xf numFmtId="0" fontId="24" fillId="0" borderId="2" xfId="0" applyFont="1" applyBorder="1" applyAlignment="1">
      <alignment horizontal="center"/>
    </xf>
    <xf numFmtId="0" fontId="24" fillId="0" borderId="26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4" fillId="0" borderId="6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left" vertical="center"/>
      <protection locked="0"/>
    </xf>
    <xf numFmtId="0" fontId="13" fillId="0" borderId="1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5" fillId="0" borderId="6" xfId="4" applyFont="1" applyBorder="1" applyAlignment="1" applyProtection="1">
      <alignment horizontal="left" vertical="center"/>
      <protection locked="0"/>
    </xf>
    <xf numFmtId="0" fontId="25" fillId="0" borderId="2" xfId="4" applyFont="1" applyBorder="1" applyAlignment="1" applyProtection="1">
      <alignment horizontal="left" vertical="center"/>
      <protection locked="0"/>
    </xf>
    <xf numFmtId="0" fontId="25" fillId="0" borderId="26" xfId="4" applyFont="1" applyBorder="1" applyAlignment="1" applyProtection="1">
      <alignment horizontal="left" vertical="center"/>
      <protection locked="0"/>
    </xf>
    <xf numFmtId="0" fontId="1" fillId="0" borderId="27" xfId="0" applyFont="1" applyBorder="1" applyAlignment="1" applyProtection="1">
      <alignment horizontal="left" vertical="top" wrapText="1"/>
      <protection locked="0"/>
    </xf>
    <xf numFmtId="0" fontId="4" fillId="0" borderId="7" xfId="0" applyFont="1" applyBorder="1" applyAlignment="1" applyProtection="1">
      <alignment horizontal="left" vertical="top" wrapText="1"/>
      <protection locked="0"/>
    </xf>
    <xf numFmtId="0" fontId="4" fillId="0" borderId="28" xfId="0" applyFont="1" applyBorder="1" applyAlignment="1" applyProtection="1">
      <alignment horizontal="left" vertical="top" wrapText="1"/>
      <protection locked="0"/>
    </xf>
    <xf numFmtId="0" fontId="24" fillId="0" borderId="25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47" xfId="0" applyFont="1" applyBorder="1" applyAlignment="1">
      <alignment horizontal="center"/>
    </xf>
    <xf numFmtId="0" fontId="24" fillId="0" borderId="22" xfId="0" applyFont="1" applyBorder="1" applyAlignment="1">
      <alignment horizontal="center" wrapText="1"/>
    </xf>
    <xf numFmtId="0" fontId="24" fillId="0" borderId="2" xfId="0" applyFont="1" applyBorder="1" applyAlignment="1">
      <alignment horizontal="center" wrapText="1"/>
    </xf>
    <xf numFmtId="0" fontId="24" fillId="0" borderId="26" xfId="0" applyFont="1" applyBorder="1" applyAlignment="1">
      <alignment horizontal="center" wrapText="1"/>
    </xf>
    <xf numFmtId="0" fontId="6" fillId="2" borderId="42" xfId="0" applyFont="1" applyFill="1" applyBorder="1" applyAlignment="1">
      <alignment horizontal="center" wrapText="1"/>
    </xf>
    <xf numFmtId="0" fontId="6" fillId="2" borderId="43" xfId="0" applyFont="1" applyFill="1" applyBorder="1" applyAlignment="1">
      <alignment horizontal="center" wrapText="1"/>
    </xf>
    <xf numFmtId="0" fontId="1" fillId="4" borderId="6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 applyProtection="1">
      <alignment horizontal="left" vertical="center" wrapText="1"/>
      <protection locked="0"/>
    </xf>
    <xf numFmtId="0" fontId="5" fillId="4" borderId="26" xfId="0" applyFont="1" applyFill="1" applyBorder="1" applyAlignment="1" applyProtection="1">
      <alignment horizontal="left" vertical="center" wrapText="1"/>
      <protection locked="0"/>
    </xf>
    <xf numFmtId="0" fontId="5" fillId="4" borderId="22" xfId="0" applyFont="1" applyFill="1" applyBorder="1" applyAlignment="1" applyProtection="1">
      <alignment horizontal="left" vertical="center" wrapText="1"/>
      <protection locked="0"/>
    </xf>
    <xf numFmtId="0" fontId="1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33" fillId="3" borderId="13" xfId="0" applyFont="1" applyFill="1" applyBorder="1" applyAlignment="1">
      <alignment horizontal="center"/>
    </xf>
    <xf numFmtId="0" fontId="15" fillId="0" borderId="0" xfId="0" applyFont="1"/>
    <xf numFmtId="1" fontId="10" fillId="5" borderId="9" xfId="0" applyNumberFormat="1" applyFont="1" applyFill="1" applyBorder="1" applyAlignment="1">
      <alignment horizontal="center" vertical="center"/>
    </xf>
    <xf numFmtId="1" fontId="11" fillId="0" borderId="51" xfId="0" applyNumberFormat="1" applyFont="1" applyBorder="1" applyAlignment="1">
      <alignment horizontal="center" vertical="center"/>
    </xf>
    <xf numFmtId="1" fontId="11" fillId="0" borderId="9" xfId="0" applyNumberFormat="1" applyFont="1" applyBorder="1" applyAlignment="1">
      <alignment horizontal="center" vertical="center"/>
    </xf>
    <xf numFmtId="1" fontId="17" fillId="0" borderId="9" xfId="0" applyNumberFormat="1" applyFont="1" applyBorder="1" applyAlignment="1">
      <alignment horizontal="center" vertical="center"/>
    </xf>
    <xf numFmtId="1" fontId="11" fillId="0" borderId="9" xfId="0" quotePrefix="1" applyNumberFormat="1" applyFont="1" applyBorder="1" applyAlignment="1">
      <alignment horizontal="center" vertical="center"/>
    </xf>
    <xf numFmtId="1" fontId="11" fillId="0" borderId="12" xfId="0" applyNumberFormat="1" applyFont="1" applyBorder="1" applyAlignment="1">
      <alignment horizontal="center" vertical="center"/>
    </xf>
    <xf numFmtId="1" fontId="11" fillId="0" borderId="13" xfId="0" applyNumberFormat="1" applyFont="1" applyBorder="1" applyAlignment="1">
      <alignment horizontal="center" vertical="center"/>
    </xf>
    <xf numFmtId="1" fontId="27" fillId="0" borderId="9" xfId="0" applyNumberFormat="1" applyFont="1" applyBorder="1" applyAlignment="1">
      <alignment horizontal="center" vertical="center" wrapText="1"/>
    </xf>
    <xf numFmtId="1" fontId="9" fillId="0" borderId="9" xfId="0" applyNumberFormat="1" applyFont="1" applyBorder="1" applyAlignment="1">
      <alignment horizontal="center" vertical="center"/>
    </xf>
    <xf numFmtId="1" fontId="11" fillId="4" borderId="9" xfId="0" applyNumberFormat="1" applyFont="1" applyFill="1" applyBorder="1" applyAlignment="1">
      <alignment horizontal="center" vertical="center"/>
    </xf>
    <xf numFmtId="1" fontId="27" fillId="4" borderId="9" xfId="0" applyNumberFormat="1" applyFont="1" applyFill="1" applyBorder="1" applyAlignment="1">
      <alignment horizontal="center" vertical="center"/>
    </xf>
    <xf numFmtId="1" fontId="28" fillId="0" borderId="9" xfId="0" applyNumberFormat="1" applyFont="1" applyBorder="1" applyAlignment="1">
      <alignment horizontal="center" vertical="center"/>
    </xf>
    <xf numFmtId="1" fontId="27" fillId="0" borderId="51" xfId="0" applyNumberFormat="1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1" fontId="11" fillId="0" borderId="11" xfId="0" applyNumberFormat="1" applyFont="1" applyBorder="1" applyAlignment="1">
      <alignment horizontal="center" vertical="center"/>
    </xf>
    <xf numFmtId="1" fontId="11" fillId="0" borderId="35" xfId="0" applyNumberFormat="1" applyFont="1" applyBorder="1" applyAlignment="1">
      <alignment horizontal="center" vertical="center"/>
    </xf>
    <xf numFmtId="1" fontId="11" fillId="0" borderId="52" xfId="0" applyNumberFormat="1" applyFont="1" applyBorder="1" applyAlignment="1">
      <alignment horizontal="center" vertical="center"/>
    </xf>
    <xf numFmtId="1" fontId="11" fillId="0" borderId="53" xfId="0" applyNumberFormat="1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" fontId="11" fillId="0" borderId="33" xfId="0" applyNumberFormat="1" applyFont="1" applyBorder="1" applyAlignment="1">
      <alignment horizontal="center" vertical="center"/>
    </xf>
    <xf numFmtId="1" fontId="17" fillId="0" borderId="13" xfId="0" applyNumberFormat="1" applyFont="1" applyBorder="1" applyAlignment="1">
      <alignment horizontal="center" vertical="center"/>
    </xf>
    <xf numFmtId="1" fontId="17" fillId="0" borderId="13" xfId="0" quotePrefix="1" applyNumberFormat="1" applyFont="1" applyBorder="1" applyAlignment="1">
      <alignment horizontal="center" vertical="center"/>
    </xf>
    <xf numFmtId="1" fontId="11" fillId="0" borderId="54" xfId="0" applyNumberFormat="1" applyFont="1" applyBorder="1" applyAlignment="1">
      <alignment horizontal="center" vertical="center"/>
    </xf>
    <xf numFmtId="1" fontId="11" fillId="0" borderId="34" xfId="0" applyNumberFormat="1" applyFont="1" applyBorder="1" applyAlignment="1">
      <alignment horizontal="center" vertical="center"/>
    </xf>
    <xf numFmtId="1" fontId="11" fillId="0" borderId="14" xfId="0" applyNumberFormat="1" applyFont="1" applyBorder="1" applyAlignment="1">
      <alignment horizontal="center" vertical="center"/>
    </xf>
    <xf numFmtId="1" fontId="27" fillId="0" borderId="12" xfId="0" applyNumberFormat="1" applyFont="1" applyBorder="1" applyAlignment="1">
      <alignment horizontal="center" vertical="center"/>
    </xf>
    <xf numFmtId="1" fontId="27" fillId="0" borderId="13" xfId="0" applyNumberFormat="1" applyFont="1" applyBorder="1" applyAlignment="1">
      <alignment horizontal="center" vertical="center"/>
    </xf>
    <xf numFmtId="1" fontId="27" fillId="0" borderId="44" xfId="0" applyNumberFormat="1" applyFont="1" applyBorder="1" applyAlignment="1">
      <alignment horizontal="center" vertical="center"/>
    </xf>
    <xf numFmtId="1" fontId="11" fillId="0" borderId="36" xfId="0" applyNumberFormat="1" applyFont="1" applyBorder="1" applyAlignment="1">
      <alignment horizontal="center" vertical="center"/>
    </xf>
    <xf numFmtId="1" fontId="20" fillId="0" borderId="13" xfId="0" applyNumberFormat="1" applyFont="1" applyBorder="1" applyAlignment="1">
      <alignment horizontal="center" vertical="center"/>
    </xf>
    <xf numFmtId="1" fontId="27" fillId="0" borderId="33" xfId="0" applyNumberFormat="1" applyFont="1" applyBorder="1" applyAlignment="1">
      <alignment horizontal="center" vertical="center"/>
    </xf>
    <xf numFmtId="1" fontId="17" fillId="0" borderId="33" xfId="0" applyNumberFormat="1" applyFon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5">
    <cellStyle name="Hipervínculo" xfId="3" builtinId="8"/>
    <cellStyle name="Hyperlink" xfId="4" xr:uid="{403BFF33-3750-49DB-8AAB-EF1D1AE13472}"/>
    <cellStyle name="Millares [0]" xfId="1" builtinId="6"/>
    <cellStyle name="Normal" xfId="0" builtinId="0"/>
    <cellStyle name="Normal 2" xfId="2" xr:uid="{153A9560-C711-4032-814E-AC6B4EC3C4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1.xml"/><Relationship Id="rId7" Type="http://schemas.openxmlformats.org/officeDocument/2006/relationships/image" Target="../media/image4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customXml" Target="../ink/ink3.xml"/><Relationship Id="rId5" Type="http://schemas.openxmlformats.org/officeDocument/2006/relationships/customXml" Target="../ink/ink2.xml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500993</xdr:colOff>
      <xdr:row>0</xdr:row>
      <xdr:rowOff>181851</xdr:rowOff>
    </xdr:from>
    <xdr:to>
      <xdr:col>14</xdr:col>
      <xdr:colOff>1508126</xdr:colOff>
      <xdr:row>3</xdr:row>
      <xdr:rowOff>176656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068776C-284E-4812-9B06-20CEABF0BA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0993" y="181851"/>
          <a:ext cx="1007133" cy="550430"/>
        </a:xfrm>
        <a:prstGeom prst="rect">
          <a:avLst/>
        </a:prstGeom>
      </xdr:spPr>
    </xdr:pic>
    <xdr:clientData/>
  </xdr:twoCellAnchor>
  <xdr:twoCellAnchor editAs="oneCell">
    <xdr:from>
      <xdr:col>18</xdr:col>
      <xdr:colOff>765720</xdr:colOff>
      <xdr:row>62</xdr:row>
      <xdr:rowOff>43354</xdr:rowOff>
    </xdr:from>
    <xdr:to>
      <xdr:col>18</xdr:col>
      <xdr:colOff>1333501</xdr:colOff>
      <xdr:row>65</xdr:row>
      <xdr:rowOff>143093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99409A76-E726-4F64-A74E-8DF588C1868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t="3340" b="-1"/>
        <a:stretch/>
      </xdr:blipFill>
      <xdr:spPr bwMode="auto">
        <a:xfrm>
          <a:off x="8206426" y="14353266"/>
          <a:ext cx="567781" cy="581591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15</xdr:col>
      <xdr:colOff>677860</xdr:colOff>
      <xdr:row>60</xdr:row>
      <xdr:rowOff>988302</xdr:rowOff>
    </xdr:from>
    <xdr:to>
      <xdr:col>15</xdr:col>
      <xdr:colOff>678220</xdr:colOff>
      <xdr:row>60</xdr:row>
      <xdr:rowOff>988662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2" name="Entrada de lápiz 1">
              <a:extLst>
                <a:ext uri="{FF2B5EF4-FFF2-40B4-BE49-F238E27FC236}">
                  <a16:creationId xmlns:a16="http://schemas.microsoft.com/office/drawing/2014/main" id="{31889514-3E2D-4B6F-A30B-B8DF46549DC2}"/>
                </a:ext>
              </a:extLst>
            </xdr14:cNvPr>
            <xdr14:cNvContentPartPr/>
          </xdr14:nvContentPartPr>
          <xdr14:nvPr macro=""/>
          <xdr14:xfrm>
            <a:off x="2646360" y="10086120"/>
            <a:ext cx="360" cy="360"/>
          </xdr14:xfrm>
        </xdr:contentPart>
      </mc:Choice>
      <mc:Fallback xmlns="">
        <xdr:pic>
          <xdr:nvPicPr>
            <xdr:cNvPr id="2" name="Entrada de lápiz 1">
              <a:extLst>
                <a:ext uri="{FF2B5EF4-FFF2-40B4-BE49-F238E27FC236}">
                  <a16:creationId xmlns:a16="http://schemas.microsoft.com/office/drawing/2014/main" id="{31889514-3E2D-4B6F-A30B-B8DF46549DC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2637720" y="1007748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589640</xdr:colOff>
      <xdr:row>60</xdr:row>
      <xdr:rowOff>890382</xdr:rowOff>
    </xdr:from>
    <xdr:to>
      <xdr:col>16</xdr:col>
      <xdr:colOff>590000</xdr:colOff>
      <xdr:row>60</xdr:row>
      <xdr:rowOff>890742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9" name="Entrada de lápiz 8">
              <a:extLst>
                <a:ext uri="{FF2B5EF4-FFF2-40B4-BE49-F238E27FC236}">
                  <a16:creationId xmlns:a16="http://schemas.microsoft.com/office/drawing/2014/main" id="{57B73065-A896-E65B-DD8E-0D8B62821278}"/>
                </a:ext>
              </a:extLst>
            </xdr14:cNvPr>
            <xdr14:cNvContentPartPr/>
          </xdr14:nvContentPartPr>
          <xdr14:nvPr macro=""/>
          <xdr14:xfrm>
            <a:off x="4526640" y="9988200"/>
            <a:ext cx="360" cy="360"/>
          </xdr14:xfrm>
        </xdr:contentPart>
      </mc:Choice>
      <mc:Fallback xmlns="">
        <xdr:pic>
          <xdr:nvPicPr>
            <xdr:cNvPr id="9" name="Entrada de lápiz 8">
              <a:extLst>
                <a:ext uri="{FF2B5EF4-FFF2-40B4-BE49-F238E27FC236}">
                  <a16:creationId xmlns:a16="http://schemas.microsoft.com/office/drawing/2014/main" id="{57B73065-A896-E65B-DD8E-0D8B62821278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4518000" y="9979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978100</xdr:colOff>
      <xdr:row>60</xdr:row>
      <xdr:rowOff>982542</xdr:rowOff>
    </xdr:from>
    <xdr:to>
      <xdr:col>15</xdr:col>
      <xdr:colOff>978460</xdr:colOff>
      <xdr:row>60</xdr:row>
      <xdr:rowOff>982902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3" name="Entrada de lápiz 2">
              <a:extLst>
                <a:ext uri="{FF2B5EF4-FFF2-40B4-BE49-F238E27FC236}">
                  <a16:creationId xmlns:a16="http://schemas.microsoft.com/office/drawing/2014/main" id="{C5F221DB-A0FE-C360-4FE4-AA550610D451}"/>
                </a:ext>
              </a:extLst>
            </xdr14:cNvPr>
            <xdr14:cNvContentPartPr/>
          </xdr14:nvContentPartPr>
          <xdr14:nvPr macro=""/>
          <xdr14:xfrm>
            <a:off x="2946600" y="10080360"/>
            <a:ext cx="360" cy="360"/>
          </xdr14:xfrm>
        </xdr:contentPart>
      </mc:Choice>
      <mc:Fallback xmlns="">
        <xdr:pic>
          <xdr:nvPicPr>
            <xdr:cNvPr id="3" name="Entrada de lápiz 2">
              <a:extLst>
                <a:ext uri="{FF2B5EF4-FFF2-40B4-BE49-F238E27FC236}">
                  <a16:creationId xmlns:a16="http://schemas.microsoft.com/office/drawing/2014/main" id="{C5F221DB-A0FE-C360-4FE4-AA550610D451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2937600" y="100713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4-03-27T16:08:03.109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 1,'0'0,"0"0,0 0,0 0,0 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4-03-27T16:08:41.932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1 0,'0'0,"0"0,0 0,0 0,0 0,0 0,0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</inkml:traceFormat>
        <inkml:channelProperties>
          <inkml:channelProperty channel="X" name="resolution" value="1000" units="1/cm"/>
          <inkml:channelProperty channel="Y" name="resolution" value="1000" units="1/cm"/>
        </inkml:channelProperties>
      </inkml:inkSource>
      <inkml:timestamp xml:id="ts0" timeString="2025-03-17T14:32:21.741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0 0,'0'0,"0"0,0 0,0 0,0 0,0 0,0 0</inkml:trace>
</inkml: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8650-EF28-479E-8CE8-2A637BFABB12}">
  <sheetPr>
    <pageSetUpPr fitToPage="1"/>
  </sheetPr>
  <dimension ref="A1:DJ164"/>
  <sheetViews>
    <sheetView showGridLines="0" tabSelected="1" topLeftCell="O1" zoomScale="72" zoomScaleNormal="85" zoomScaleSheetLayoutView="100" zoomScalePageLayoutView="55" workbookViewId="0">
      <selection activeCell="S8" sqref="S8"/>
    </sheetView>
  </sheetViews>
  <sheetFormatPr baseColWidth="10" defaultColWidth="11.42578125" defaultRowHeight="15.75" outlineLevelRow="1" outlineLevelCol="1" x14ac:dyDescent="0.25"/>
  <cols>
    <col min="1" max="1" width="2.7109375" style="2" hidden="1" customWidth="1" outlineLevel="1"/>
    <col min="2" max="2" width="7.85546875" style="24" hidden="1" customWidth="1" outlineLevel="1"/>
    <col min="3" max="3" width="51" style="24" hidden="1" customWidth="1" outlineLevel="1"/>
    <col min="4" max="4" width="16.42578125" style="24" hidden="1" customWidth="1" outlineLevel="1"/>
    <col min="5" max="5" width="16.7109375" style="24" hidden="1" customWidth="1" outlineLevel="1"/>
    <col min="6" max="6" width="16.42578125" style="24" hidden="1" customWidth="1" outlineLevel="1"/>
    <col min="7" max="7" width="17" style="24" hidden="1" customWidth="1" outlineLevel="1"/>
    <col min="8" max="8" width="17" style="62" hidden="1" customWidth="1" outlineLevel="1"/>
    <col min="9" max="9" width="14.28515625" style="24" hidden="1" customWidth="1" outlineLevel="1"/>
    <col min="10" max="10" width="18.42578125" style="24" hidden="1" customWidth="1" outlineLevel="1"/>
    <col min="11" max="11" width="9.7109375" style="24" hidden="1" customWidth="1" outlineLevel="1"/>
    <col min="12" max="12" width="11.42578125" style="24" hidden="1" customWidth="1" outlineLevel="1"/>
    <col min="13" max="13" width="24.85546875" style="25" hidden="1" customWidth="1" outlineLevel="1"/>
    <col min="14" max="14" width="13.7109375" style="24" hidden="1" customWidth="1" outlineLevel="1"/>
    <col min="15" max="15" width="27.85546875" style="1" customWidth="1" collapsed="1"/>
    <col min="16" max="16" width="38.42578125" style="1" customWidth="1"/>
    <col min="17" max="19" width="27.85546875" style="1" customWidth="1"/>
    <col min="20" max="20" width="15.28515625" style="129" customWidth="1"/>
    <col min="21" max="21" width="13.28515625" style="129" hidden="1" customWidth="1"/>
    <col min="22" max="114" width="11.42578125" style="129"/>
    <col min="115" max="16384" width="11.42578125" style="2"/>
  </cols>
  <sheetData>
    <row r="1" spans="1:114" ht="15" customHeight="1" thickTop="1" x14ac:dyDescent="0.25">
      <c r="A1" s="5"/>
      <c r="M1" s="24"/>
      <c r="O1" s="12"/>
      <c r="P1" s="13"/>
      <c r="Q1" s="13"/>
      <c r="R1" s="13"/>
      <c r="S1" s="33"/>
    </row>
    <row r="2" spans="1:114" ht="15" customHeight="1" thickBot="1" x14ac:dyDescent="0.3">
      <c r="A2" s="5"/>
      <c r="M2" s="24"/>
      <c r="O2" s="227" t="s">
        <v>928</v>
      </c>
      <c r="P2" s="228"/>
      <c r="Q2" s="228"/>
      <c r="R2" s="228"/>
      <c r="S2" s="34"/>
    </row>
    <row r="3" spans="1:114" ht="15" customHeight="1" thickBot="1" x14ac:dyDescent="0.3">
      <c r="A3" s="5"/>
      <c r="M3" s="24"/>
      <c r="O3" s="227"/>
      <c r="P3" s="228"/>
      <c r="Q3" s="228"/>
      <c r="R3" s="228"/>
      <c r="S3" s="4" t="s">
        <v>863</v>
      </c>
      <c r="T3" s="130"/>
    </row>
    <row r="4" spans="1:114" ht="15" customHeight="1" thickBot="1" x14ac:dyDescent="0.3">
      <c r="A4" s="5"/>
      <c r="M4" s="24"/>
      <c r="O4" s="227"/>
      <c r="P4" s="228"/>
      <c r="Q4" s="228"/>
      <c r="R4" s="228"/>
      <c r="S4" s="119"/>
    </row>
    <row r="5" spans="1:114" ht="15" customHeight="1" thickBot="1" x14ac:dyDescent="0.3">
      <c r="A5" s="5"/>
      <c r="M5" s="24"/>
      <c r="O5" s="14"/>
      <c r="P5" s="82"/>
      <c r="Q5" s="83"/>
      <c r="S5" s="34"/>
    </row>
    <row r="6" spans="1:114" ht="16.5" thickBot="1" x14ac:dyDescent="0.3">
      <c r="A6" s="5"/>
      <c r="M6" s="24"/>
      <c r="O6" s="15" t="s">
        <v>865</v>
      </c>
      <c r="P6" s="16" t="s">
        <v>866</v>
      </c>
      <c r="Q6" s="16" t="s">
        <v>1</v>
      </c>
      <c r="R6" s="16" t="s">
        <v>1686</v>
      </c>
      <c r="S6" s="22" t="s">
        <v>929</v>
      </c>
    </row>
    <row r="7" spans="1:114" ht="16.5" thickBot="1" x14ac:dyDescent="0.3">
      <c r="A7" s="5"/>
      <c r="M7" s="24"/>
      <c r="O7" s="8"/>
      <c r="P7" s="116"/>
      <c r="Q7" s="117"/>
      <c r="R7" s="116"/>
      <c r="S7" s="118"/>
    </row>
    <row r="8" spans="1:114" ht="16.5" thickBot="1" x14ac:dyDescent="0.3">
      <c r="A8" s="5"/>
      <c r="M8" s="24"/>
      <c r="O8" s="7"/>
      <c r="S8" s="34"/>
    </row>
    <row r="9" spans="1:114" ht="16.5" customHeight="1" thickBot="1" x14ac:dyDescent="0.3">
      <c r="A9" s="5"/>
      <c r="M9" s="24"/>
      <c r="O9" s="17" t="s">
        <v>873</v>
      </c>
      <c r="P9" s="243"/>
      <c r="Q9" s="244"/>
      <c r="R9" s="20" t="s">
        <v>876</v>
      </c>
      <c r="S9" s="109"/>
    </row>
    <row r="10" spans="1:114" ht="21" customHeight="1" thickBot="1" x14ac:dyDescent="0.3">
      <c r="A10" s="5"/>
      <c r="M10" s="24"/>
      <c r="O10" s="19" t="s">
        <v>874</v>
      </c>
      <c r="P10" s="248"/>
      <c r="Q10" s="249"/>
      <c r="R10" s="21" t="s">
        <v>1906</v>
      </c>
      <c r="S10" s="114"/>
    </row>
    <row r="11" spans="1:114" ht="16.5" customHeight="1" thickBot="1" x14ac:dyDescent="0.3">
      <c r="A11" s="5"/>
      <c r="M11" s="24"/>
      <c r="O11" s="19" t="s">
        <v>875</v>
      </c>
      <c r="P11" s="250"/>
      <c r="Q11" s="244"/>
      <c r="R11" s="61" t="s">
        <v>1907</v>
      </c>
      <c r="S11" s="110"/>
    </row>
    <row r="12" spans="1:114" s="1" customFormat="1" ht="17.25" customHeight="1" thickBot="1" x14ac:dyDescent="0.3">
      <c r="A12" s="7"/>
      <c r="B12" s="25"/>
      <c r="C12" s="25"/>
      <c r="D12" s="25"/>
      <c r="E12" s="25"/>
      <c r="F12" s="25"/>
      <c r="G12" s="25"/>
      <c r="H12" s="63"/>
      <c r="I12" s="25"/>
      <c r="J12" s="25"/>
      <c r="K12" s="25"/>
      <c r="L12" s="25"/>
      <c r="M12" s="25"/>
      <c r="N12" s="25"/>
      <c r="O12" s="115" t="s">
        <v>1908</v>
      </c>
      <c r="P12" s="251"/>
      <c r="Q12" s="252"/>
      <c r="R12" s="108" t="s">
        <v>1909</v>
      </c>
      <c r="S12" s="111"/>
      <c r="T12" s="131"/>
      <c r="U12" s="131"/>
      <c r="V12" s="131"/>
      <c r="W12" s="131"/>
      <c r="X12" s="131"/>
      <c r="Y12" s="131"/>
      <c r="Z12" s="131"/>
      <c r="AA12" s="131"/>
      <c r="AB12" s="131"/>
      <c r="AC12" s="131"/>
      <c r="AD12" s="131"/>
      <c r="AE12" s="131"/>
      <c r="AF12" s="131"/>
      <c r="AG12" s="131"/>
      <c r="AH12" s="131"/>
      <c r="AI12" s="131"/>
      <c r="AJ12" s="131"/>
      <c r="AK12" s="131"/>
      <c r="AL12" s="131"/>
      <c r="AM12" s="131"/>
      <c r="AN12" s="131"/>
      <c r="AO12" s="131"/>
      <c r="AP12" s="131"/>
      <c r="AQ12" s="131"/>
      <c r="AR12" s="131"/>
      <c r="AS12" s="131"/>
      <c r="AT12" s="131"/>
      <c r="AU12" s="131"/>
      <c r="AV12" s="131"/>
      <c r="AW12" s="131"/>
      <c r="AX12" s="131"/>
      <c r="AY12" s="131"/>
      <c r="AZ12" s="131"/>
      <c r="BA12" s="131"/>
      <c r="BB12" s="131"/>
      <c r="BC12" s="131"/>
      <c r="BD12" s="131"/>
      <c r="BE12" s="131"/>
      <c r="BF12" s="131"/>
      <c r="BG12" s="131"/>
      <c r="BH12" s="131"/>
      <c r="BI12" s="131"/>
      <c r="BJ12" s="131"/>
      <c r="BK12" s="131"/>
      <c r="BL12" s="131"/>
      <c r="BM12" s="131"/>
      <c r="BN12" s="131"/>
      <c r="BO12" s="131"/>
      <c r="BP12" s="131"/>
      <c r="BQ12" s="131"/>
      <c r="BR12" s="131"/>
      <c r="BS12" s="131"/>
      <c r="BT12" s="131"/>
      <c r="BU12" s="131"/>
      <c r="BV12" s="131"/>
      <c r="BW12" s="131"/>
      <c r="BX12" s="131"/>
      <c r="BY12" s="131"/>
      <c r="BZ12" s="131"/>
      <c r="CA12" s="131"/>
      <c r="CB12" s="131"/>
      <c r="CC12" s="131"/>
      <c r="CD12" s="131"/>
      <c r="CE12" s="131"/>
      <c r="CF12" s="131"/>
      <c r="CG12" s="131"/>
      <c r="CH12" s="131"/>
      <c r="CI12" s="131"/>
      <c r="CJ12" s="131"/>
      <c r="CK12" s="131"/>
      <c r="CL12" s="131"/>
      <c r="CM12" s="131"/>
      <c r="CN12" s="131"/>
      <c r="CO12" s="131"/>
      <c r="CP12" s="131"/>
      <c r="CQ12" s="131"/>
      <c r="CR12" s="131"/>
      <c r="CS12" s="131"/>
      <c r="CT12" s="131"/>
      <c r="CU12" s="131"/>
      <c r="CV12" s="131"/>
      <c r="CW12" s="131"/>
      <c r="CX12" s="131"/>
      <c r="CY12" s="131"/>
      <c r="CZ12" s="131"/>
      <c r="DA12" s="131"/>
      <c r="DB12" s="131"/>
      <c r="DC12" s="131"/>
      <c r="DD12" s="131"/>
      <c r="DE12" s="131"/>
      <c r="DF12" s="131"/>
      <c r="DG12" s="131"/>
      <c r="DH12" s="131"/>
      <c r="DI12" s="131"/>
      <c r="DJ12" s="131"/>
    </row>
    <row r="13" spans="1:114" ht="17.25" customHeight="1" thickBot="1" x14ac:dyDescent="0.3">
      <c r="A13" s="5"/>
      <c r="M13" s="24"/>
      <c r="O13" s="17" t="s">
        <v>1910</v>
      </c>
      <c r="P13" s="207"/>
      <c r="Q13" s="208"/>
      <c r="R13" s="18" t="s">
        <v>1913</v>
      </c>
      <c r="S13" s="112"/>
    </row>
    <row r="14" spans="1:114" ht="17.25" customHeight="1" thickBot="1" x14ac:dyDescent="0.3">
      <c r="A14" s="5"/>
      <c r="M14" s="24"/>
      <c r="O14" s="17" t="s">
        <v>1911</v>
      </c>
      <c r="P14" s="207"/>
      <c r="Q14" s="208"/>
      <c r="R14" s="18" t="s">
        <v>1914</v>
      </c>
      <c r="S14" s="113"/>
    </row>
    <row r="15" spans="1:114" ht="17.25" customHeight="1" thickBot="1" x14ac:dyDescent="0.3">
      <c r="A15" s="5"/>
      <c r="M15" s="24"/>
      <c r="O15" s="120" t="s">
        <v>1912</v>
      </c>
      <c r="P15" s="207"/>
      <c r="Q15" s="208"/>
      <c r="R15" s="90"/>
      <c r="S15" s="34"/>
    </row>
    <row r="16" spans="1:114" s="1" customFormat="1" ht="21.75" customHeight="1" thickBot="1" x14ac:dyDescent="0.35">
      <c r="A16" s="7"/>
      <c r="B16" s="26"/>
      <c r="C16" s="26"/>
      <c r="D16" s="26"/>
      <c r="E16" s="26"/>
      <c r="F16" s="26"/>
      <c r="G16" s="11" t="s">
        <v>868</v>
      </c>
      <c r="H16" s="64"/>
      <c r="I16" s="11"/>
      <c r="J16" s="26"/>
      <c r="K16" s="26"/>
      <c r="L16" s="26"/>
      <c r="M16" s="26"/>
      <c r="N16" s="26"/>
      <c r="O16" s="238" t="s">
        <v>1423</v>
      </c>
      <c r="P16" s="239"/>
      <c r="Q16" s="239"/>
      <c r="R16" s="239"/>
      <c r="S16" s="240"/>
      <c r="T16" s="131"/>
      <c r="U16" s="131"/>
      <c r="V16" s="131"/>
      <c r="W16" s="131"/>
      <c r="X16" s="131"/>
      <c r="Y16" s="131"/>
      <c r="Z16" s="131"/>
      <c r="AA16" s="131"/>
      <c r="AB16" s="131"/>
      <c r="AC16" s="131"/>
      <c r="AD16" s="131"/>
      <c r="AE16" s="131"/>
      <c r="AF16" s="131"/>
      <c r="AG16" s="131"/>
      <c r="AH16" s="131"/>
      <c r="AI16" s="131"/>
      <c r="AJ16" s="131"/>
      <c r="AK16" s="131"/>
      <c r="AL16" s="131"/>
      <c r="AM16" s="131"/>
      <c r="AN16" s="131"/>
      <c r="AO16" s="131"/>
      <c r="AP16" s="131"/>
      <c r="AQ16" s="131"/>
      <c r="AR16" s="131"/>
      <c r="AS16" s="131"/>
      <c r="AT16" s="131"/>
      <c r="AU16" s="131"/>
      <c r="AV16" s="131"/>
      <c r="AW16" s="131"/>
      <c r="AX16" s="131"/>
      <c r="AY16" s="131"/>
      <c r="AZ16" s="131"/>
      <c r="BA16" s="131"/>
      <c r="BB16" s="131"/>
      <c r="BC16" s="131"/>
      <c r="BD16" s="131"/>
      <c r="BE16" s="131"/>
      <c r="BF16" s="131"/>
      <c r="BG16" s="131"/>
      <c r="BH16" s="131"/>
      <c r="BI16" s="131"/>
      <c r="BJ16" s="131"/>
      <c r="BK16" s="131"/>
      <c r="BL16" s="131"/>
      <c r="BM16" s="131"/>
      <c r="BN16" s="131"/>
      <c r="BO16" s="131"/>
      <c r="BP16" s="131"/>
      <c r="BQ16" s="131"/>
      <c r="BR16" s="131"/>
      <c r="BS16" s="131"/>
      <c r="BT16" s="131"/>
      <c r="BU16" s="131"/>
      <c r="BV16" s="131"/>
      <c r="BW16" s="131"/>
      <c r="BX16" s="131"/>
      <c r="BY16" s="131"/>
      <c r="BZ16" s="131"/>
      <c r="CA16" s="131"/>
      <c r="CB16" s="131"/>
      <c r="CC16" s="131"/>
      <c r="CD16" s="131"/>
      <c r="CE16" s="131"/>
      <c r="CF16" s="131"/>
      <c r="CG16" s="131"/>
      <c r="CH16" s="131"/>
      <c r="CI16" s="131"/>
      <c r="CJ16" s="131"/>
      <c r="CK16" s="131"/>
      <c r="CL16" s="131"/>
      <c r="CM16" s="131"/>
      <c r="CN16" s="131"/>
      <c r="CO16" s="131"/>
      <c r="CP16" s="131"/>
      <c r="CQ16" s="131"/>
      <c r="CR16" s="131"/>
      <c r="CS16" s="131"/>
      <c r="CT16" s="131"/>
      <c r="CU16" s="131"/>
      <c r="CV16" s="131"/>
      <c r="CW16" s="131"/>
      <c r="CX16" s="131"/>
      <c r="CY16" s="131"/>
      <c r="CZ16" s="131"/>
      <c r="DA16" s="131"/>
      <c r="DB16" s="131"/>
      <c r="DC16" s="131"/>
      <c r="DD16" s="131"/>
      <c r="DE16" s="131"/>
      <c r="DF16" s="131"/>
      <c r="DG16" s="131"/>
      <c r="DH16" s="131"/>
      <c r="DI16" s="131"/>
      <c r="DJ16" s="131"/>
    </row>
    <row r="17" spans="1:21" ht="17.25" customHeight="1" thickBot="1" x14ac:dyDescent="0.3">
      <c r="A17" s="5"/>
      <c r="B17" s="23" t="s">
        <v>3</v>
      </c>
      <c r="C17" s="23" t="s">
        <v>861</v>
      </c>
      <c r="D17" s="23" t="s">
        <v>10</v>
      </c>
      <c r="E17" s="23" t="s">
        <v>4</v>
      </c>
      <c r="F17" s="23" t="s">
        <v>6</v>
      </c>
      <c r="G17" s="23" t="s">
        <v>12</v>
      </c>
      <c r="H17" s="65" t="s">
        <v>1424</v>
      </c>
      <c r="I17" s="23" t="s">
        <v>0</v>
      </c>
      <c r="J17" s="23" t="s">
        <v>862</v>
      </c>
      <c r="K17" s="23" t="s">
        <v>863</v>
      </c>
      <c r="L17" s="23" t="s">
        <v>1</v>
      </c>
      <c r="M17" s="23" t="s">
        <v>9</v>
      </c>
      <c r="N17" s="31" t="s">
        <v>864</v>
      </c>
      <c r="O17" s="84" t="s">
        <v>7</v>
      </c>
      <c r="P17" s="241" t="s">
        <v>867</v>
      </c>
      <c r="Q17" s="242"/>
      <c r="R17" s="71" t="s">
        <v>8</v>
      </c>
      <c r="S17" s="121" t="s">
        <v>11</v>
      </c>
      <c r="U17" s="132" t="s">
        <v>11</v>
      </c>
    </row>
    <row r="18" spans="1:21" ht="28.5" customHeight="1" x14ac:dyDescent="0.25">
      <c r="A18" s="5"/>
      <c r="B18" s="27">
        <f>$C$18</f>
        <v>0</v>
      </c>
      <c r="C18" s="27">
        <f>P9</f>
        <v>0</v>
      </c>
      <c r="D18" s="128">
        <f>$P$10</f>
        <v>0</v>
      </c>
      <c r="E18" s="27">
        <f>$P$11</f>
        <v>0</v>
      </c>
      <c r="F18" s="27">
        <f>$S$9</f>
        <v>0</v>
      </c>
      <c r="G18" s="27">
        <f>$S$10</f>
        <v>0</v>
      </c>
      <c r="H18" s="66">
        <f>$P$12</f>
        <v>0</v>
      </c>
      <c r="I18" s="28">
        <f>$O$7</f>
        <v>0</v>
      </c>
      <c r="J18" s="28">
        <f>$P$7</f>
        <v>0</v>
      </c>
      <c r="K18" s="29">
        <f>$S$4</f>
        <v>0</v>
      </c>
      <c r="L18" s="30">
        <f>$Q$7</f>
        <v>0</v>
      </c>
      <c r="M18" s="29">
        <f>$R$7</f>
        <v>0</v>
      </c>
      <c r="N18" s="32">
        <f>$S$7</f>
        <v>0</v>
      </c>
      <c r="O18" s="85"/>
      <c r="P18" s="122"/>
      <c r="Q18" s="94"/>
      <c r="R18" s="123"/>
      <c r="S18" s="86"/>
      <c r="U18" s="133" t="e">
        <f>IF(#REF!="No",1,0)</f>
        <v>#REF!</v>
      </c>
    </row>
    <row r="19" spans="1:21" ht="28.5" customHeight="1" x14ac:dyDescent="0.25">
      <c r="A19" s="5"/>
      <c r="B19" s="27">
        <f>$C$18</f>
        <v>0</v>
      </c>
      <c r="C19" s="27">
        <f>P9</f>
        <v>0</v>
      </c>
      <c r="D19" s="128">
        <f>$P$10</f>
        <v>0</v>
      </c>
      <c r="E19" s="27">
        <f>$P$11</f>
        <v>0</v>
      </c>
      <c r="F19" s="27">
        <f t="shared" ref="F19:F34" si="0">$S$9</f>
        <v>0</v>
      </c>
      <c r="G19" s="27">
        <f t="shared" ref="G19:G34" si="1">$S$10</f>
        <v>0</v>
      </c>
      <c r="H19" s="66">
        <f t="shared" ref="H19:H34" si="2">$P$12</f>
        <v>0</v>
      </c>
      <c r="I19" s="28">
        <f t="shared" ref="I19:I34" si="3">$O$7</f>
        <v>0</v>
      </c>
      <c r="J19" s="28">
        <f t="shared" ref="J19:J34" si="4">$P$7</f>
        <v>0</v>
      </c>
      <c r="K19" s="29">
        <f t="shared" ref="K19:K34" si="5">$S$4</f>
        <v>0</v>
      </c>
      <c r="L19" s="30">
        <f t="shared" ref="L19:L34" si="6">$Q$7</f>
        <v>0</v>
      </c>
      <c r="M19" s="29">
        <f t="shared" ref="M19:M34" si="7">$R$7</f>
        <v>0</v>
      </c>
      <c r="N19" s="32">
        <f t="shared" ref="N19:N34" si="8">$S$7</f>
        <v>0</v>
      </c>
      <c r="O19" s="87"/>
      <c r="P19" s="122"/>
      <c r="Q19" s="95"/>
      <c r="R19" s="123"/>
      <c r="S19" s="86"/>
      <c r="U19" s="133" t="e">
        <f>IF(#REF!="No",1,0)</f>
        <v>#REF!</v>
      </c>
    </row>
    <row r="20" spans="1:21" ht="28.5" customHeight="1" x14ac:dyDescent="0.25">
      <c r="A20" s="5"/>
      <c r="B20" s="27">
        <f t="shared" ref="B20:B24" si="9">$C$18</f>
        <v>0</v>
      </c>
      <c r="C20" s="27">
        <f>P9</f>
        <v>0</v>
      </c>
      <c r="D20" s="128">
        <f>$P$10</f>
        <v>0</v>
      </c>
      <c r="E20" s="27">
        <f t="shared" ref="E20:E34" si="10">$P$11</f>
        <v>0</v>
      </c>
      <c r="F20" s="27">
        <f t="shared" si="0"/>
        <v>0</v>
      </c>
      <c r="G20" s="27">
        <f t="shared" si="1"/>
        <v>0</v>
      </c>
      <c r="H20" s="66">
        <f t="shared" si="2"/>
        <v>0</v>
      </c>
      <c r="I20" s="28">
        <f t="shared" si="3"/>
        <v>0</v>
      </c>
      <c r="J20" s="28">
        <f t="shared" si="4"/>
        <v>0</v>
      </c>
      <c r="K20" s="29">
        <f t="shared" si="5"/>
        <v>0</v>
      </c>
      <c r="L20" s="30">
        <f t="shared" si="6"/>
        <v>0</v>
      </c>
      <c r="M20" s="29">
        <f t="shared" si="7"/>
        <v>0</v>
      </c>
      <c r="N20" s="32">
        <f t="shared" si="8"/>
        <v>0</v>
      </c>
      <c r="O20" s="87"/>
      <c r="P20" s="122"/>
      <c r="Q20" s="95"/>
      <c r="R20" s="123"/>
      <c r="S20" s="86"/>
      <c r="U20" s="133" t="e">
        <f>IF(#REF!="No",1,0)</f>
        <v>#REF!</v>
      </c>
    </row>
    <row r="21" spans="1:21" ht="28.5" customHeight="1" x14ac:dyDescent="0.25">
      <c r="A21" s="5"/>
      <c r="B21" s="27">
        <f t="shared" si="9"/>
        <v>0</v>
      </c>
      <c r="C21" s="27">
        <f>P9</f>
        <v>0</v>
      </c>
      <c r="D21" s="128">
        <f t="shared" ref="D21:D24" si="11">$P$10</f>
        <v>0</v>
      </c>
      <c r="E21" s="27">
        <f t="shared" si="10"/>
        <v>0</v>
      </c>
      <c r="F21" s="27">
        <f t="shared" si="0"/>
        <v>0</v>
      </c>
      <c r="G21" s="27">
        <f t="shared" si="1"/>
        <v>0</v>
      </c>
      <c r="H21" s="66">
        <f t="shared" si="2"/>
        <v>0</v>
      </c>
      <c r="I21" s="28">
        <f t="shared" si="3"/>
        <v>0</v>
      </c>
      <c r="J21" s="28">
        <f t="shared" si="4"/>
        <v>0</v>
      </c>
      <c r="K21" s="29">
        <f t="shared" si="5"/>
        <v>0</v>
      </c>
      <c r="L21" s="30">
        <f t="shared" si="6"/>
        <v>0</v>
      </c>
      <c r="M21" s="29">
        <f t="shared" si="7"/>
        <v>0</v>
      </c>
      <c r="N21" s="32">
        <f t="shared" si="8"/>
        <v>0</v>
      </c>
      <c r="O21" s="87"/>
      <c r="P21" s="122"/>
      <c r="Q21" s="95"/>
      <c r="R21" s="123"/>
      <c r="S21" s="86"/>
      <c r="U21" s="133" t="e">
        <f>IF(#REF!="No",1,0)</f>
        <v>#REF!</v>
      </c>
    </row>
    <row r="22" spans="1:21" ht="28.5" customHeight="1" x14ac:dyDescent="0.25">
      <c r="A22" s="5"/>
      <c r="B22" s="27">
        <f t="shared" si="9"/>
        <v>0</v>
      </c>
      <c r="C22" s="27">
        <f>P9</f>
        <v>0</v>
      </c>
      <c r="D22" s="128">
        <f t="shared" si="11"/>
        <v>0</v>
      </c>
      <c r="E22" s="27">
        <f t="shared" si="10"/>
        <v>0</v>
      </c>
      <c r="F22" s="27">
        <f t="shared" si="0"/>
        <v>0</v>
      </c>
      <c r="G22" s="27">
        <f t="shared" si="1"/>
        <v>0</v>
      </c>
      <c r="H22" s="66">
        <f t="shared" si="2"/>
        <v>0</v>
      </c>
      <c r="I22" s="28">
        <f t="shared" si="3"/>
        <v>0</v>
      </c>
      <c r="J22" s="28">
        <f t="shared" si="4"/>
        <v>0</v>
      </c>
      <c r="K22" s="29">
        <f t="shared" si="5"/>
        <v>0</v>
      </c>
      <c r="L22" s="30">
        <f t="shared" si="6"/>
        <v>0</v>
      </c>
      <c r="M22" s="29">
        <f t="shared" si="7"/>
        <v>0</v>
      </c>
      <c r="N22" s="32">
        <f t="shared" si="8"/>
        <v>0</v>
      </c>
      <c r="O22" s="87"/>
      <c r="P22" s="122"/>
      <c r="Q22" s="95"/>
      <c r="R22" s="123"/>
      <c r="S22" s="86"/>
      <c r="U22" s="133" t="e">
        <f>IF(#REF!="No",1,0)</f>
        <v>#REF!</v>
      </c>
    </row>
    <row r="23" spans="1:21" ht="28.5" customHeight="1" x14ac:dyDescent="0.25">
      <c r="A23" s="5"/>
      <c r="B23" s="27">
        <f t="shared" si="9"/>
        <v>0</v>
      </c>
      <c r="C23" s="27">
        <f>P9</f>
        <v>0</v>
      </c>
      <c r="D23" s="128">
        <f t="shared" si="11"/>
        <v>0</v>
      </c>
      <c r="E23" s="27">
        <f t="shared" si="10"/>
        <v>0</v>
      </c>
      <c r="F23" s="27">
        <f t="shared" si="0"/>
        <v>0</v>
      </c>
      <c r="G23" s="27">
        <f t="shared" si="1"/>
        <v>0</v>
      </c>
      <c r="H23" s="66">
        <f t="shared" si="2"/>
        <v>0</v>
      </c>
      <c r="I23" s="28">
        <f t="shared" si="3"/>
        <v>0</v>
      </c>
      <c r="J23" s="28">
        <f t="shared" si="4"/>
        <v>0</v>
      </c>
      <c r="K23" s="29">
        <f t="shared" si="5"/>
        <v>0</v>
      </c>
      <c r="L23" s="30">
        <f t="shared" si="6"/>
        <v>0</v>
      </c>
      <c r="M23" s="29">
        <f t="shared" si="7"/>
        <v>0</v>
      </c>
      <c r="N23" s="32">
        <f t="shared" si="8"/>
        <v>0</v>
      </c>
      <c r="O23" s="87"/>
      <c r="P23" s="122"/>
      <c r="Q23" s="95"/>
      <c r="R23" s="123"/>
      <c r="S23" s="86"/>
      <c r="U23" s="133" t="e">
        <f>IF(#REF!="No",1,0)</f>
        <v>#REF!</v>
      </c>
    </row>
    <row r="24" spans="1:21" ht="28.5" customHeight="1" x14ac:dyDescent="0.25">
      <c r="A24" s="5"/>
      <c r="B24" s="27">
        <f t="shared" si="9"/>
        <v>0</v>
      </c>
      <c r="C24" s="27">
        <f>P9</f>
        <v>0</v>
      </c>
      <c r="D24" s="128">
        <f t="shared" si="11"/>
        <v>0</v>
      </c>
      <c r="E24" s="27">
        <f t="shared" si="10"/>
        <v>0</v>
      </c>
      <c r="F24" s="27">
        <f t="shared" si="0"/>
        <v>0</v>
      </c>
      <c r="G24" s="27">
        <f t="shared" si="1"/>
        <v>0</v>
      </c>
      <c r="H24" s="66">
        <f t="shared" si="2"/>
        <v>0</v>
      </c>
      <c r="I24" s="28">
        <f t="shared" si="3"/>
        <v>0</v>
      </c>
      <c r="J24" s="28">
        <f t="shared" si="4"/>
        <v>0</v>
      </c>
      <c r="K24" s="29">
        <f t="shared" si="5"/>
        <v>0</v>
      </c>
      <c r="L24" s="30">
        <f t="shared" si="6"/>
        <v>0</v>
      </c>
      <c r="M24" s="29">
        <f t="shared" si="7"/>
        <v>0</v>
      </c>
      <c r="N24" s="32">
        <f t="shared" si="8"/>
        <v>0</v>
      </c>
      <c r="O24" s="124"/>
      <c r="P24" s="122"/>
      <c r="Q24" s="95"/>
      <c r="R24" s="123"/>
      <c r="S24" s="86"/>
      <c r="U24" s="133" t="e">
        <f>IF(#REF!="No",1,0)</f>
        <v>#REF!</v>
      </c>
    </row>
    <row r="25" spans="1:21" ht="28.5" hidden="1" customHeight="1" outlineLevel="1" x14ac:dyDescent="0.25">
      <c r="A25" s="5"/>
      <c r="B25" s="27">
        <f t="shared" ref="B25:B34" si="12">$C$18</f>
        <v>0</v>
      </c>
      <c r="C25" s="27" t="e">
        <f>#REF!</f>
        <v>#REF!</v>
      </c>
      <c r="D25" s="27">
        <f t="shared" ref="D25:D34" si="13">$P$9</f>
        <v>0</v>
      </c>
      <c r="E25" s="27">
        <f t="shared" si="10"/>
        <v>0</v>
      </c>
      <c r="F25" s="27">
        <f t="shared" si="0"/>
        <v>0</v>
      </c>
      <c r="G25" s="27">
        <f t="shared" si="1"/>
        <v>0</v>
      </c>
      <c r="H25" s="66">
        <f t="shared" si="2"/>
        <v>0</v>
      </c>
      <c r="I25" s="28">
        <f t="shared" si="3"/>
        <v>0</v>
      </c>
      <c r="J25" s="28">
        <f t="shared" si="4"/>
        <v>0</v>
      </c>
      <c r="K25" s="29">
        <f t="shared" si="5"/>
        <v>0</v>
      </c>
      <c r="L25" s="30">
        <f t="shared" si="6"/>
        <v>0</v>
      </c>
      <c r="M25" s="29">
        <f t="shared" si="7"/>
        <v>0</v>
      </c>
      <c r="N25" s="32">
        <f t="shared" si="8"/>
        <v>0</v>
      </c>
      <c r="O25" s="85"/>
      <c r="P25" s="122"/>
      <c r="Q25" s="125"/>
      <c r="R25" s="123"/>
      <c r="S25" s="86"/>
      <c r="U25" s="133">
        <f t="shared" ref="U25:U34" si="14">IF(S25="No",1,0)</f>
        <v>0</v>
      </c>
    </row>
    <row r="26" spans="1:21" ht="28.5" hidden="1" customHeight="1" outlineLevel="1" x14ac:dyDescent="0.25">
      <c r="A26" s="5"/>
      <c r="B26" s="27">
        <f t="shared" si="12"/>
        <v>0</v>
      </c>
      <c r="C26" s="27" t="e">
        <f>#REF!</f>
        <v>#REF!</v>
      </c>
      <c r="D26" s="27">
        <f t="shared" si="13"/>
        <v>0</v>
      </c>
      <c r="E26" s="27">
        <f t="shared" si="10"/>
        <v>0</v>
      </c>
      <c r="F26" s="27">
        <f t="shared" si="0"/>
        <v>0</v>
      </c>
      <c r="G26" s="27">
        <f t="shared" si="1"/>
        <v>0</v>
      </c>
      <c r="H26" s="66">
        <f t="shared" si="2"/>
        <v>0</v>
      </c>
      <c r="I26" s="28">
        <f t="shared" si="3"/>
        <v>0</v>
      </c>
      <c r="J26" s="28">
        <f t="shared" si="4"/>
        <v>0</v>
      </c>
      <c r="K26" s="29">
        <f t="shared" si="5"/>
        <v>0</v>
      </c>
      <c r="L26" s="30">
        <f t="shared" si="6"/>
        <v>0</v>
      </c>
      <c r="M26" s="29">
        <f t="shared" si="7"/>
        <v>0</v>
      </c>
      <c r="N26" s="32">
        <f t="shared" si="8"/>
        <v>0</v>
      </c>
      <c r="O26" s="87"/>
      <c r="P26" s="122"/>
      <c r="Q26" s="95"/>
      <c r="R26" s="123"/>
      <c r="S26" s="86"/>
      <c r="U26" s="133">
        <f t="shared" si="14"/>
        <v>0</v>
      </c>
    </row>
    <row r="27" spans="1:21" ht="28.5" hidden="1" customHeight="1" outlineLevel="1" x14ac:dyDescent="0.25">
      <c r="A27" s="5"/>
      <c r="B27" s="27">
        <f t="shared" si="12"/>
        <v>0</v>
      </c>
      <c r="C27" s="27" t="e">
        <f>#REF!</f>
        <v>#REF!</v>
      </c>
      <c r="D27" s="27">
        <f t="shared" si="13"/>
        <v>0</v>
      </c>
      <c r="E27" s="27">
        <f t="shared" si="10"/>
        <v>0</v>
      </c>
      <c r="F27" s="27">
        <f t="shared" si="0"/>
        <v>0</v>
      </c>
      <c r="G27" s="27">
        <f t="shared" si="1"/>
        <v>0</v>
      </c>
      <c r="H27" s="66">
        <f t="shared" si="2"/>
        <v>0</v>
      </c>
      <c r="I27" s="28">
        <f t="shared" si="3"/>
        <v>0</v>
      </c>
      <c r="J27" s="28">
        <f t="shared" si="4"/>
        <v>0</v>
      </c>
      <c r="K27" s="29">
        <f t="shared" si="5"/>
        <v>0</v>
      </c>
      <c r="L27" s="30">
        <f t="shared" si="6"/>
        <v>0</v>
      </c>
      <c r="M27" s="29">
        <f t="shared" si="7"/>
        <v>0</v>
      </c>
      <c r="N27" s="32">
        <f t="shared" si="8"/>
        <v>0</v>
      </c>
      <c r="O27" s="87"/>
      <c r="P27" s="122"/>
      <c r="Q27" s="95"/>
      <c r="R27" s="123"/>
      <c r="S27" s="86"/>
      <c r="U27" s="133">
        <f t="shared" si="14"/>
        <v>0</v>
      </c>
    </row>
    <row r="28" spans="1:21" ht="28.5" hidden="1" customHeight="1" outlineLevel="1" x14ac:dyDescent="0.25">
      <c r="A28" s="5"/>
      <c r="B28" s="27">
        <f t="shared" si="12"/>
        <v>0</v>
      </c>
      <c r="C28" s="27" t="e">
        <f>#REF!</f>
        <v>#REF!</v>
      </c>
      <c r="D28" s="27">
        <f t="shared" si="13"/>
        <v>0</v>
      </c>
      <c r="E28" s="27">
        <f t="shared" si="10"/>
        <v>0</v>
      </c>
      <c r="F28" s="27">
        <f t="shared" si="0"/>
        <v>0</v>
      </c>
      <c r="G28" s="27">
        <f t="shared" si="1"/>
        <v>0</v>
      </c>
      <c r="H28" s="66">
        <f t="shared" si="2"/>
        <v>0</v>
      </c>
      <c r="I28" s="28">
        <f t="shared" si="3"/>
        <v>0</v>
      </c>
      <c r="J28" s="28">
        <f t="shared" si="4"/>
        <v>0</v>
      </c>
      <c r="K28" s="29">
        <f t="shared" si="5"/>
        <v>0</v>
      </c>
      <c r="L28" s="30">
        <f t="shared" si="6"/>
        <v>0</v>
      </c>
      <c r="M28" s="29">
        <f t="shared" si="7"/>
        <v>0</v>
      </c>
      <c r="N28" s="32">
        <f t="shared" si="8"/>
        <v>0</v>
      </c>
      <c r="O28" s="87"/>
      <c r="P28" s="122"/>
      <c r="Q28" s="95"/>
      <c r="R28" s="123"/>
      <c r="S28" s="86"/>
      <c r="U28" s="133">
        <f t="shared" si="14"/>
        <v>0</v>
      </c>
    </row>
    <row r="29" spans="1:21" ht="28.5" hidden="1" customHeight="1" outlineLevel="1" x14ac:dyDescent="0.25">
      <c r="A29" s="5"/>
      <c r="B29" s="27">
        <f t="shared" si="12"/>
        <v>0</v>
      </c>
      <c r="C29" s="27" t="e">
        <f>#REF!</f>
        <v>#REF!</v>
      </c>
      <c r="D29" s="27">
        <f t="shared" si="13"/>
        <v>0</v>
      </c>
      <c r="E29" s="27">
        <f t="shared" si="10"/>
        <v>0</v>
      </c>
      <c r="F29" s="27">
        <f t="shared" si="0"/>
        <v>0</v>
      </c>
      <c r="G29" s="27">
        <f t="shared" si="1"/>
        <v>0</v>
      </c>
      <c r="H29" s="66">
        <f t="shared" si="2"/>
        <v>0</v>
      </c>
      <c r="I29" s="28">
        <f t="shared" si="3"/>
        <v>0</v>
      </c>
      <c r="J29" s="28">
        <f t="shared" si="4"/>
        <v>0</v>
      </c>
      <c r="K29" s="29">
        <f t="shared" si="5"/>
        <v>0</v>
      </c>
      <c r="L29" s="30">
        <f t="shared" si="6"/>
        <v>0</v>
      </c>
      <c r="M29" s="29">
        <f t="shared" si="7"/>
        <v>0</v>
      </c>
      <c r="N29" s="32">
        <f t="shared" si="8"/>
        <v>0</v>
      </c>
      <c r="O29" s="87"/>
      <c r="P29" s="122"/>
      <c r="Q29" s="95"/>
      <c r="R29" s="123"/>
      <c r="S29" s="86"/>
      <c r="U29" s="133">
        <f t="shared" si="14"/>
        <v>0</v>
      </c>
    </row>
    <row r="30" spans="1:21" ht="28.5" hidden="1" customHeight="1" outlineLevel="1" x14ac:dyDescent="0.25">
      <c r="A30" s="5"/>
      <c r="B30" s="27">
        <f t="shared" si="12"/>
        <v>0</v>
      </c>
      <c r="C30" s="27" t="e">
        <f>#REF!</f>
        <v>#REF!</v>
      </c>
      <c r="D30" s="27">
        <f t="shared" si="13"/>
        <v>0</v>
      </c>
      <c r="E30" s="27">
        <f t="shared" si="10"/>
        <v>0</v>
      </c>
      <c r="F30" s="27">
        <f t="shared" si="0"/>
        <v>0</v>
      </c>
      <c r="G30" s="27">
        <f t="shared" si="1"/>
        <v>0</v>
      </c>
      <c r="H30" s="66">
        <f t="shared" si="2"/>
        <v>0</v>
      </c>
      <c r="I30" s="28">
        <f t="shared" si="3"/>
        <v>0</v>
      </c>
      <c r="J30" s="28">
        <f t="shared" si="4"/>
        <v>0</v>
      </c>
      <c r="K30" s="29">
        <f t="shared" si="5"/>
        <v>0</v>
      </c>
      <c r="L30" s="30">
        <f t="shared" si="6"/>
        <v>0</v>
      </c>
      <c r="M30" s="29">
        <f t="shared" si="7"/>
        <v>0</v>
      </c>
      <c r="N30" s="32">
        <f t="shared" si="8"/>
        <v>0</v>
      </c>
      <c r="O30" s="87"/>
      <c r="P30" s="122"/>
      <c r="Q30" s="95"/>
      <c r="R30" s="123"/>
      <c r="S30" s="86"/>
      <c r="U30" s="133">
        <f t="shared" si="14"/>
        <v>0</v>
      </c>
    </row>
    <row r="31" spans="1:21" ht="28.5" hidden="1" customHeight="1" outlineLevel="1" x14ac:dyDescent="0.25">
      <c r="A31" s="5"/>
      <c r="B31" s="27">
        <f t="shared" si="12"/>
        <v>0</v>
      </c>
      <c r="C31" s="27" t="e">
        <f>#REF!</f>
        <v>#REF!</v>
      </c>
      <c r="D31" s="27">
        <f t="shared" si="13"/>
        <v>0</v>
      </c>
      <c r="E31" s="27">
        <f t="shared" si="10"/>
        <v>0</v>
      </c>
      <c r="F31" s="27">
        <f t="shared" si="0"/>
        <v>0</v>
      </c>
      <c r="G31" s="27">
        <f t="shared" si="1"/>
        <v>0</v>
      </c>
      <c r="H31" s="66">
        <f t="shared" si="2"/>
        <v>0</v>
      </c>
      <c r="I31" s="28">
        <f t="shared" si="3"/>
        <v>0</v>
      </c>
      <c r="J31" s="28">
        <f t="shared" si="4"/>
        <v>0</v>
      </c>
      <c r="K31" s="29">
        <f t="shared" si="5"/>
        <v>0</v>
      </c>
      <c r="L31" s="30">
        <f t="shared" si="6"/>
        <v>0</v>
      </c>
      <c r="M31" s="29">
        <f t="shared" si="7"/>
        <v>0</v>
      </c>
      <c r="N31" s="32">
        <f t="shared" si="8"/>
        <v>0</v>
      </c>
      <c r="O31" s="87"/>
      <c r="P31" s="122"/>
      <c r="Q31" s="95"/>
      <c r="R31" s="123"/>
      <c r="S31" s="86"/>
      <c r="U31" s="133">
        <f t="shared" si="14"/>
        <v>0</v>
      </c>
    </row>
    <row r="32" spans="1:21" ht="28.5" hidden="1" customHeight="1" outlineLevel="1" x14ac:dyDescent="0.25">
      <c r="A32" s="5"/>
      <c r="B32" s="27">
        <f t="shared" si="12"/>
        <v>0</v>
      </c>
      <c r="C32" s="27" t="e">
        <f>#REF!</f>
        <v>#REF!</v>
      </c>
      <c r="D32" s="27">
        <f t="shared" si="13"/>
        <v>0</v>
      </c>
      <c r="E32" s="27">
        <f t="shared" si="10"/>
        <v>0</v>
      </c>
      <c r="F32" s="27">
        <f t="shared" si="0"/>
        <v>0</v>
      </c>
      <c r="G32" s="27">
        <f t="shared" si="1"/>
        <v>0</v>
      </c>
      <c r="H32" s="66">
        <f t="shared" si="2"/>
        <v>0</v>
      </c>
      <c r="I32" s="28">
        <f t="shared" si="3"/>
        <v>0</v>
      </c>
      <c r="J32" s="28">
        <f t="shared" si="4"/>
        <v>0</v>
      </c>
      <c r="K32" s="29">
        <f t="shared" si="5"/>
        <v>0</v>
      </c>
      <c r="L32" s="30">
        <f t="shared" si="6"/>
        <v>0</v>
      </c>
      <c r="M32" s="29">
        <f t="shared" si="7"/>
        <v>0</v>
      </c>
      <c r="N32" s="32">
        <f t="shared" si="8"/>
        <v>0</v>
      </c>
      <c r="O32" s="87"/>
      <c r="P32" s="122"/>
      <c r="Q32" s="95"/>
      <c r="R32" s="123"/>
      <c r="S32" s="86"/>
      <c r="U32" s="133">
        <f t="shared" si="14"/>
        <v>0</v>
      </c>
    </row>
    <row r="33" spans="1:114" ht="28.5" hidden="1" customHeight="1" outlineLevel="1" x14ac:dyDescent="0.25">
      <c r="A33" s="5"/>
      <c r="B33" s="27">
        <f t="shared" si="12"/>
        <v>0</v>
      </c>
      <c r="C33" s="27" t="e">
        <f>#REF!</f>
        <v>#REF!</v>
      </c>
      <c r="D33" s="27">
        <f t="shared" si="13"/>
        <v>0</v>
      </c>
      <c r="E33" s="27">
        <f t="shared" si="10"/>
        <v>0</v>
      </c>
      <c r="F33" s="27">
        <f t="shared" si="0"/>
        <v>0</v>
      </c>
      <c r="G33" s="27">
        <f t="shared" si="1"/>
        <v>0</v>
      </c>
      <c r="H33" s="66">
        <f t="shared" si="2"/>
        <v>0</v>
      </c>
      <c r="I33" s="28">
        <f t="shared" si="3"/>
        <v>0</v>
      </c>
      <c r="J33" s="28">
        <f t="shared" si="4"/>
        <v>0</v>
      </c>
      <c r="K33" s="29">
        <f t="shared" si="5"/>
        <v>0</v>
      </c>
      <c r="L33" s="30">
        <f t="shared" si="6"/>
        <v>0</v>
      </c>
      <c r="M33" s="29">
        <f t="shared" si="7"/>
        <v>0</v>
      </c>
      <c r="N33" s="32">
        <f t="shared" si="8"/>
        <v>0</v>
      </c>
      <c r="O33" s="87"/>
      <c r="P33" s="122"/>
      <c r="Q33" s="95"/>
      <c r="R33" s="123"/>
      <c r="S33" s="86"/>
      <c r="U33" s="133">
        <f t="shared" si="14"/>
        <v>0</v>
      </c>
    </row>
    <row r="34" spans="1:114" ht="28.5" hidden="1" customHeight="1" outlineLevel="1" x14ac:dyDescent="0.25">
      <c r="A34" s="5"/>
      <c r="B34" s="27">
        <f t="shared" si="12"/>
        <v>0</v>
      </c>
      <c r="C34" s="27" t="e">
        <f>#REF!</f>
        <v>#REF!</v>
      </c>
      <c r="D34" s="27">
        <f t="shared" si="13"/>
        <v>0</v>
      </c>
      <c r="E34" s="27">
        <f t="shared" si="10"/>
        <v>0</v>
      </c>
      <c r="F34" s="27">
        <f t="shared" si="0"/>
        <v>0</v>
      </c>
      <c r="G34" s="27">
        <f t="shared" si="1"/>
        <v>0</v>
      </c>
      <c r="H34" s="66">
        <f t="shared" si="2"/>
        <v>0</v>
      </c>
      <c r="I34" s="28">
        <f t="shared" si="3"/>
        <v>0</v>
      </c>
      <c r="J34" s="28">
        <f t="shared" si="4"/>
        <v>0</v>
      </c>
      <c r="K34" s="29">
        <f t="shared" si="5"/>
        <v>0</v>
      </c>
      <c r="L34" s="30">
        <f t="shared" si="6"/>
        <v>0</v>
      </c>
      <c r="M34" s="29">
        <f t="shared" si="7"/>
        <v>0</v>
      </c>
      <c r="N34" s="32">
        <f t="shared" si="8"/>
        <v>0</v>
      </c>
      <c r="O34" s="87"/>
      <c r="P34" s="122"/>
      <c r="Q34" s="95"/>
      <c r="R34" s="123"/>
      <c r="S34" s="86"/>
      <c r="U34" s="133">
        <f t="shared" si="14"/>
        <v>0</v>
      </c>
    </row>
    <row r="35" spans="1:114" ht="21" customHeight="1" collapsed="1" thickBot="1" x14ac:dyDescent="0.35">
      <c r="A35" s="5"/>
      <c r="B35" s="76"/>
      <c r="C35" s="76"/>
      <c r="D35" s="76"/>
      <c r="E35" s="76"/>
      <c r="F35" s="76"/>
      <c r="G35" s="76"/>
      <c r="H35" s="77"/>
      <c r="I35" s="78"/>
      <c r="J35" s="78"/>
      <c r="K35" s="79"/>
      <c r="L35" s="80"/>
      <c r="M35" s="79"/>
      <c r="N35" s="76"/>
      <c r="O35" s="235" t="s">
        <v>1722</v>
      </c>
      <c r="P35" s="236"/>
      <c r="Q35" s="236"/>
      <c r="R35" s="236"/>
      <c r="S35" s="237"/>
      <c r="U35" s="134"/>
    </row>
    <row r="36" spans="1:114" ht="28.5" customHeight="1" thickBot="1" x14ac:dyDescent="0.3">
      <c r="A36" s="5"/>
      <c r="B36" s="76"/>
      <c r="C36" s="76"/>
      <c r="D36" s="76"/>
      <c r="E36" s="76"/>
      <c r="F36" s="76"/>
      <c r="G36" s="76"/>
      <c r="H36" s="77"/>
      <c r="I36" s="78"/>
      <c r="J36" s="78"/>
      <c r="K36" s="79"/>
      <c r="L36" s="80"/>
      <c r="M36" s="79"/>
      <c r="N36" s="76"/>
      <c r="O36" s="247" t="s">
        <v>1915</v>
      </c>
      <c r="P36" s="245"/>
      <c r="Q36" s="245" t="s">
        <v>1916</v>
      </c>
      <c r="R36" s="245"/>
      <c r="S36" s="246"/>
      <c r="T36" s="134"/>
    </row>
    <row r="37" spans="1:114" ht="28.5" customHeight="1" x14ac:dyDescent="0.25">
      <c r="A37" s="5"/>
      <c r="B37" s="76"/>
      <c r="C37" s="76"/>
      <c r="D37" s="76"/>
      <c r="E37" s="76"/>
      <c r="F37" s="76"/>
      <c r="G37" s="76"/>
      <c r="H37" s="77"/>
      <c r="I37" s="78"/>
      <c r="J37" s="78"/>
      <c r="K37" s="79"/>
      <c r="L37" s="80"/>
      <c r="M37" s="79"/>
      <c r="N37" s="76"/>
      <c r="O37" s="104"/>
      <c r="P37" s="81"/>
      <c r="Q37" s="107"/>
      <c r="R37" s="91"/>
      <c r="S37" s="101"/>
      <c r="T37" s="134"/>
    </row>
    <row r="38" spans="1:114" ht="28.5" customHeight="1" x14ac:dyDescent="0.25">
      <c r="A38" s="5"/>
      <c r="B38" s="76"/>
      <c r="C38" s="76"/>
      <c r="D38" s="76"/>
      <c r="E38" s="76"/>
      <c r="F38" s="76"/>
      <c r="G38" s="76"/>
      <c r="H38" s="77"/>
      <c r="I38" s="78"/>
      <c r="J38" s="78"/>
      <c r="K38" s="79"/>
      <c r="L38" s="80"/>
      <c r="M38" s="79"/>
      <c r="N38" s="76"/>
      <c r="O38" s="88"/>
      <c r="P38" s="81"/>
      <c r="Q38" s="81"/>
      <c r="R38" s="92"/>
      <c r="S38" s="102"/>
      <c r="T38" s="134"/>
    </row>
    <row r="39" spans="1:114" ht="28.5" customHeight="1" x14ac:dyDescent="0.25">
      <c r="A39" s="5"/>
      <c r="B39" s="76"/>
      <c r="C39" s="76"/>
      <c r="D39" s="76"/>
      <c r="E39" s="76"/>
      <c r="F39" s="76"/>
      <c r="G39" s="76"/>
      <c r="H39" s="77"/>
      <c r="I39" s="78"/>
      <c r="J39" s="78"/>
      <c r="K39" s="79"/>
      <c r="L39" s="80"/>
      <c r="M39" s="79"/>
      <c r="N39" s="76"/>
      <c r="O39" s="88"/>
      <c r="P39" s="81"/>
      <c r="Q39" s="81"/>
      <c r="R39" s="92"/>
      <c r="S39" s="102"/>
      <c r="T39" s="134"/>
    </row>
    <row r="40" spans="1:114" ht="28.5" customHeight="1" x14ac:dyDescent="0.25">
      <c r="A40" s="5"/>
      <c r="B40" s="76"/>
      <c r="C40" s="76"/>
      <c r="D40" s="76"/>
      <c r="E40" s="76"/>
      <c r="F40" s="76"/>
      <c r="G40" s="76"/>
      <c r="H40" s="77"/>
      <c r="I40" s="78"/>
      <c r="J40" s="78"/>
      <c r="K40" s="79"/>
      <c r="L40" s="80"/>
      <c r="M40" s="79"/>
      <c r="N40" s="76"/>
      <c r="O40" s="88"/>
      <c r="P40" s="81"/>
      <c r="Q40" s="81"/>
      <c r="R40" s="92"/>
      <c r="S40" s="102"/>
      <c r="T40" s="134"/>
    </row>
    <row r="41" spans="1:114" ht="28.5" customHeight="1" x14ac:dyDescent="0.25">
      <c r="A41" s="5"/>
      <c r="B41" s="76"/>
      <c r="C41" s="76"/>
      <c r="D41" s="76"/>
      <c r="E41" s="76"/>
      <c r="F41" s="76"/>
      <c r="G41" s="76"/>
      <c r="H41" s="77"/>
      <c r="I41" s="78"/>
      <c r="J41" s="78"/>
      <c r="K41" s="79"/>
      <c r="L41" s="80"/>
      <c r="M41" s="79"/>
      <c r="N41" s="76"/>
      <c r="O41" s="88"/>
      <c r="P41" s="81"/>
      <c r="Q41" s="81"/>
      <c r="R41" s="92"/>
      <c r="S41" s="102"/>
      <c r="T41" s="134"/>
    </row>
    <row r="42" spans="1:114" ht="28.5" customHeight="1" x14ac:dyDescent="0.3">
      <c r="A42" s="5"/>
      <c r="B42" s="76"/>
      <c r="C42" s="76"/>
      <c r="D42" s="76"/>
      <c r="E42" s="76"/>
      <c r="F42" s="76"/>
      <c r="G42" s="76"/>
      <c r="H42" s="77"/>
      <c r="I42" s="78"/>
      <c r="J42" s="78"/>
      <c r="K42" s="79"/>
      <c r="L42" s="80"/>
      <c r="M42" s="79"/>
      <c r="N42" s="76"/>
      <c r="O42" s="7"/>
      <c r="P42" s="96"/>
      <c r="Q42" s="96"/>
      <c r="R42" s="96"/>
      <c r="S42" s="97"/>
      <c r="T42" s="134"/>
    </row>
    <row r="43" spans="1:114" ht="28.5" customHeight="1" x14ac:dyDescent="0.25">
      <c r="A43" s="5"/>
      <c r="B43" s="76"/>
      <c r="C43" s="76"/>
      <c r="D43" s="76"/>
      <c r="E43" s="76"/>
      <c r="F43" s="76"/>
      <c r="G43" s="76"/>
      <c r="H43" s="77"/>
      <c r="I43" s="78"/>
      <c r="J43" s="78"/>
      <c r="K43" s="79"/>
      <c r="L43" s="80"/>
      <c r="M43" s="79"/>
      <c r="N43" s="76"/>
      <c r="O43" s="88"/>
      <c r="P43" s="81"/>
      <c r="Q43" s="81"/>
      <c r="R43" s="92"/>
      <c r="S43" s="102"/>
      <c r="T43" s="134"/>
    </row>
    <row r="44" spans="1:114" ht="28.5" customHeight="1" x14ac:dyDescent="0.25">
      <c r="A44" s="5"/>
      <c r="B44" s="76"/>
      <c r="C44" s="76"/>
      <c r="D44" s="76"/>
      <c r="E44" s="76"/>
      <c r="F44" s="76"/>
      <c r="G44" s="76"/>
      <c r="H44" s="77"/>
      <c r="I44" s="78"/>
      <c r="J44" s="78"/>
      <c r="K44" s="79"/>
      <c r="L44" s="80"/>
      <c r="M44" s="79"/>
      <c r="N44" s="76"/>
      <c r="O44" s="88"/>
      <c r="P44" s="81"/>
      <c r="Q44" s="81"/>
      <c r="R44" s="92"/>
      <c r="S44" s="102"/>
      <c r="T44" s="134"/>
    </row>
    <row r="45" spans="1:114" ht="28.5" customHeight="1" x14ac:dyDescent="0.25">
      <c r="A45" s="5"/>
      <c r="B45" s="76"/>
      <c r="C45" s="76"/>
      <c r="D45" s="76"/>
      <c r="E45" s="76"/>
      <c r="F45" s="76"/>
      <c r="G45" s="76"/>
      <c r="H45" s="77"/>
      <c r="I45" s="78"/>
      <c r="J45" s="78"/>
      <c r="K45" s="79"/>
      <c r="L45" s="80"/>
      <c r="M45" s="79"/>
      <c r="N45" s="76"/>
      <c r="O45" s="88"/>
      <c r="P45" s="81"/>
      <c r="Q45" s="81"/>
      <c r="R45" s="92"/>
      <c r="S45" s="102"/>
      <c r="T45" s="134"/>
    </row>
    <row r="46" spans="1:114" ht="28.5" customHeight="1" x14ac:dyDescent="0.25">
      <c r="A46" s="5"/>
      <c r="B46" s="76"/>
      <c r="C46" s="76"/>
      <c r="D46" s="76"/>
      <c r="E46" s="76"/>
      <c r="F46" s="76"/>
      <c r="G46" s="76"/>
      <c r="H46" s="77"/>
      <c r="I46" s="78"/>
      <c r="J46" s="78"/>
      <c r="K46" s="79"/>
      <c r="L46" s="80"/>
      <c r="M46" s="79"/>
      <c r="N46" s="76"/>
      <c r="O46" s="88"/>
      <c r="P46" s="81"/>
      <c r="Q46" s="81"/>
      <c r="R46" s="92"/>
      <c r="S46" s="102"/>
      <c r="T46" s="134"/>
    </row>
    <row r="47" spans="1:114" ht="28.5" customHeight="1" thickBot="1" x14ac:dyDescent="0.3">
      <c r="A47" s="5"/>
      <c r="B47" s="76"/>
      <c r="C47" s="76"/>
      <c r="D47" s="76"/>
      <c r="E47" s="76"/>
      <c r="F47" s="76"/>
      <c r="G47" s="76"/>
      <c r="H47" s="77"/>
      <c r="I47" s="78"/>
      <c r="J47" s="78"/>
      <c r="K47" s="79"/>
      <c r="L47" s="80"/>
      <c r="M47" s="79"/>
      <c r="N47" s="76"/>
      <c r="O47" s="105"/>
      <c r="P47" s="106"/>
      <c r="Q47" s="93"/>
      <c r="R47" s="93"/>
      <c r="S47" s="103"/>
      <c r="T47" s="134"/>
    </row>
    <row r="48" spans="1:114" s="1" customFormat="1" ht="21.75" customHeight="1" thickBot="1" x14ac:dyDescent="0.35">
      <c r="A48" s="7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18" t="s">
        <v>872</v>
      </c>
      <c r="P48" s="219"/>
      <c r="Q48" s="219"/>
      <c r="R48" s="219"/>
      <c r="S48" s="220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  <c r="AO48" s="131"/>
      <c r="AP48" s="131"/>
      <c r="AQ48" s="131"/>
      <c r="AR48" s="131"/>
      <c r="AS48" s="131"/>
      <c r="AT48" s="131"/>
      <c r="AU48" s="131"/>
      <c r="AV48" s="131"/>
      <c r="AW48" s="131"/>
      <c r="AX48" s="131"/>
      <c r="AY48" s="131"/>
      <c r="AZ48" s="131"/>
      <c r="BA48" s="131"/>
      <c r="BB48" s="131"/>
      <c r="BC48" s="131"/>
      <c r="BD48" s="131"/>
      <c r="BE48" s="131"/>
      <c r="BF48" s="131"/>
      <c r="BG48" s="131"/>
      <c r="BH48" s="131"/>
      <c r="BI48" s="131"/>
      <c r="BJ48" s="131"/>
      <c r="BK48" s="131"/>
      <c r="BL48" s="131"/>
      <c r="BM48" s="131"/>
      <c r="BN48" s="131"/>
      <c r="BO48" s="131"/>
      <c r="BP48" s="131"/>
      <c r="BQ48" s="131"/>
      <c r="BR48" s="131"/>
      <c r="BS48" s="131"/>
      <c r="BT48" s="131"/>
      <c r="BU48" s="131"/>
      <c r="BV48" s="131"/>
      <c r="BW48" s="131"/>
      <c r="BX48" s="131"/>
      <c r="BY48" s="131"/>
      <c r="BZ48" s="131"/>
      <c r="CA48" s="131"/>
      <c r="CB48" s="131"/>
      <c r="CC48" s="131"/>
      <c r="CD48" s="131"/>
      <c r="CE48" s="131"/>
      <c r="CF48" s="131"/>
      <c r="CG48" s="131"/>
      <c r="CH48" s="131"/>
      <c r="CI48" s="131"/>
      <c r="CJ48" s="131"/>
      <c r="CK48" s="131"/>
      <c r="CL48" s="131"/>
      <c r="CM48" s="131"/>
      <c r="CN48" s="131"/>
      <c r="CO48" s="131"/>
      <c r="CP48" s="131"/>
      <c r="CQ48" s="131"/>
      <c r="CR48" s="131"/>
      <c r="CS48" s="131"/>
      <c r="CT48" s="131"/>
      <c r="CU48" s="131"/>
      <c r="CV48" s="131"/>
      <c r="CW48" s="131"/>
      <c r="CX48" s="131"/>
      <c r="CY48" s="131"/>
      <c r="CZ48" s="131"/>
      <c r="DA48" s="131"/>
      <c r="DB48" s="131"/>
      <c r="DC48" s="131"/>
      <c r="DD48" s="131"/>
      <c r="DE48" s="131"/>
      <c r="DF48" s="131"/>
      <c r="DG48" s="131"/>
      <c r="DH48" s="131"/>
      <c r="DI48" s="131"/>
      <c r="DJ48" s="131"/>
    </row>
    <row r="49" spans="1:114" ht="69.95" customHeight="1" thickBot="1" x14ac:dyDescent="0.3">
      <c r="A49" s="5"/>
      <c r="M49" s="24"/>
      <c r="O49" s="232"/>
      <c r="P49" s="233"/>
      <c r="Q49" s="233"/>
      <c r="R49" s="233"/>
      <c r="S49" s="234"/>
    </row>
    <row r="50" spans="1:114" s="1" customFormat="1" ht="21.75" customHeight="1" thickBot="1" x14ac:dyDescent="0.35">
      <c r="A50" s="7"/>
      <c r="B50" s="25"/>
      <c r="C50" s="25"/>
      <c r="D50" s="25"/>
      <c r="E50" s="25"/>
      <c r="F50" s="25"/>
      <c r="G50" s="25"/>
      <c r="H50" s="63"/>
      <c r="I50" s="25"/>
      <c r="J50" s="25"/>
      <c r="K50" s="25"/>
      <c r="L50" s="25"/>
      <c r="M50" s="25"/>
      <c r="N50" s="25"/>
      <c r="O50" s="218" t="s">
        <v>1917</v>
      </c>
      <c r="P50" s="219"/>
      <c r="Q50" s="219"/>
      <c r="R50" s="219"/>
      <c r="S50" s="220"/>
      <c r="T50" s="131"/>
      <c r="U50" s="131"/>
      <c r="V50" s="131"/>
      <c r="W50" s="131"/>
      <c r="X50" s="131"/>
      <c r="Y50" s="131"/>
      <c r="Z50" s="131"/>
      <c r="AA50" s="131"/>
      <c r="AB50" s="131"/>
      <c r="AC50" s="131"/>
      <c r="AD50" s="131"/>
      <c r="AE50" s="131"/>
      <c r="AF50" s="131"/>
      <c r="AG50" s="131"/>
      <c r="AH50" s="131"/>
      <c r="AI50" s="131"/>
      <c r="AJ50" s="131"/>
      <c r="AK50" s="131"/>
      <c r="AL50" s="131"/>
      <c r="AM50" s="131"/>
      <c r="AN50" s="131"/>
      <c r="AO50" s="131"/>
      <c r="AP50" s="131"/>
      <c r="AQ50" s="131"/>
      <c r="AR50" s="131"/>
      <c r="AS50" s="131"/>
      <c r="AT50" s="131"/>
      <c r="AU50" s="131"/>
      <c r="AV50" s="131"/>
      <c r="AW50" s="131"/>
      <c r="AX50" s="131"/>
      <c r="AY50" s="131"/>
      <c r="AZ50" s="131"/>
      <c r="BA50" s="131"/>
      <c r="BB50" s="131"/>
      <c r="BC50" s="131"/>
      <c r="BD50" s="131"/>
      <c r="BE50" s="131"/>
      <c r="BF50" s="131"/>
      <c r="BG50" s="131"/>
      <c r="BH50" s="131"/>
      <c r="BI50" s="131"/>
      <c r="BJ50" s="131"/>
      <c r="BK50" s="131"/>
      <c r="BL50" s="131"/>
      <c r="BM50" s="131"/>
      <c r="BN50" s="131"/>
      <c r="BO50" s="131"/>
      <c r="BP50" s="131"/>
      <c r="BQ50" s="131"/>
      <c r="BR50" s="131"/>
      <c r="BS50" s="131"/>
      <c r="BT50" s="131"/>
      <c r="BU50" s="131"/>
      <c r="BV50" s="131"/>
      <c r="BW50" s="131"/>
      <c r="BX50" s="131"/>
      <c r="BY50" s="131"/>
      <c r="BZ50" s="131"/>
      <c r="CA50" s="131"/>
      <c r="CB50" s="131"/>
      <c r="CC50" s="131"/>
      <c r="CD50" s="131"/>
      <c r="CE50" s="131"/>
      <c r="CF50" s="131"/>
      <c r="CG50" s="131"/>
      <c r="CH50" s="131"/>
      <c r="CI50" s="131"/>
      <c r="CJ50" s="131"/>
      <c r="CK50" s="131"/>
      <c r="CL50" s="131"/>
      <c r="CM50" s="131"/>
      <c r="CN50" s="131"/>
      <c r="CO50" s="131"/>
      <c r="CP50" s="131"/>
      <c r="CQ50" s="131"/>
      <c r="CR50" s="131"/>
      <c r="CS50" s="131"/>
      <c r="CT50" s="131"/>
      <c r="CU50" s="131"/>
      <c r="CV50" s="131"/>
      <c r="CW50" s="131"/>
      <c r="CX50" s="131"/>
      <c r="CY50" s="131"/>
      <c r="CZ50" s="131"/>
      <c r="DA50" s="131"/>
      <c r="DB50" s="131"/>
      <c r="DC50" s="131"/>
      <c r="DD50" s="131"/>
      <c r="DE50" s="131"/>
      <c r="DF50" s="131"/>
      <c r="DG50" s="131"/>
      <c r="DH50" s="131"/>
      <c r="DI50" s="131"/>
      <c r="DJ50" s="131"/>
    </row>
    <row r="51" spans="1:114" ht="16.5" customHeight="1" thickBot="1" x14ac:dyDescent="0.3">
      <c r="A51" s="5"/>
      <c r="M51" s="24"/>
      <c r="O51" s="17" t="s">
        <v>882</v>
      </c>
      <c r="P51" s="224"/>
      <c r="Q51" s="225"/>
      <c r="R51" s="18" t="s">
        <v>1903</v>
      </c>
      <c r="S51" s="9"/>
    </row>
    <row r="52" spans="1:114" ht="16.5" customHeight="1" thickBot="1" x14ac:dyDescent="0.3">
      <c r="A52" s="5"/>
      <c r="M52" s="24"/>
      <c r="O52" s="17" t="s">
        <v>883</v>
      </c>
      <c r="P52" s="224"/>
      <c r="Q52" s="225"/>
      <c r="R52" s="18" t="s">
        <v>1904</v>
      </c>
      <c r="S52" s="9"/>
    </row>
    <row r="53" spans="1:114" ht="16.5" customHeight="1" thickBot="1" x14ac:dyDescent="0.3">
      <c r="A53" s="5"/>
      <c r="M53" s="24"/>
      <c r="O53" s="17" t="s">
        <v>884</v>
      </c>
      <c r="P53" s="74"/>
      <c r="Q53" s="75"/>
      <c r="R53" s="18" t="s">
        <v>1905</v>
      </c>
      <c r="S53" s="10"/>
    </row>
    <row r="54" spans="1:114" ht="16.5" hidden="1" customHeight="1" outlineLevel="1" thickBot="1" x14ac:dyDescent="0.3">
      <c r="A54" s="5"/>
      <c r="M54" s="24"/>
      <c r="O54" s="17" t="s">
        <v>1716</v>
      </c>
      <c r="P54" s="74"/>
      <c r="Q54" s="75"/>
      <c r="R54" s="18" t="s">
        <v>1719</v>
      </c>
      <c r="S54" s="10"/>
    </row>
    <row r="55" spans="1:114" ht="16.5" hidden="1" customHeight="1" outlineLevel="1" thickBot="1" x14ac:dyDescent="0.3">
      <c r="A55" s="5"/>
      <c r="M55" s="24"/>
      <c r="O55" s="17" t="s">
        <v>1717</v>
      </c>
      <c r="P55" s="74"/>
      <c r="Q55" s="75"/>
      <c r="R55" s="18" t="s">
        <v>1720</v>
      </c>
      <c r="S55" s="10"/>
    </row>
    <row r="56" spans="1:114" ht="16.5" hidden="1" customHeight="1" outlineLevel="1" thickBot="1" x14ac:dyDescent="0.3">
      <c r="A56" s="5"/>
      <c r="M56" s="24"/>
      <c r="O56" s="17" t="s">
        <v>1718</v>
      </c>
      <c r="P56" s="224"/>
      <c r="Q56" s="225"/>
      <c r="R56" s="18" t="s">
        <v>1721</v>
      </c>
      <c r="S56" s="10"/>
    </row>
    <row r="57" spans="1:114" s="1" customFormat="1" ht="21.75" customHeight="1" collapsed="1" thickBot="1" x14ac:dyDescent="0.3">
      <c r="A57" s="7"/>
      <c r="B57" s="25"/>
      <c r="C57" s="25"/>
      <c r="D57" s="25"/>
      <c r="E57" s="25"/>
      <c r="F57" s="25"/>
      <c r="G57" s="25"/>
      <c r="H57" s="63"/>
      <c r="I57" s="25"/>
      <c r="J57" s="25"/>
      <c r="K57" s="25"/>
      <c r="L57" s="25"/>
      <c r="M57" s="25"/>
      <c r="N57" s="25"/>
      <c r="O57" s="221" t="s">
        <v>860</v>
      </c>
      <c r="P57" s="222"/>
      <c r="Q57" s="222"/>
      <c r="R57" s="222"/>
      <c r="S57" s="223"/>
      <c r="T57" s="131"/>
      <c r="U57" s="131"/>
      <c r="V57" s="131"/>
      <c r="W57" s="131"/>
      <c r="X57" s="131"/>
      <c r="Y57" s="131"/>
      <c r="Z57" s="131"/>
      <c r="AA57" s="131"/>
      <c r="AB57" s="131"/>
      <c r="AC57" s="131"/>
      <c r="AD57" s="131"/>
      <c r="AE57" s="131"/>
      <c r="AF57" s="131"/>
      <c r="AG57" s="131"/>
      <c r="AH57" s="131"/>
      <c r="AI57" s="131"/>
      <c r="AJ57" s="131"/>
      <c r="AK57" s="131"/>
      <c r="AL57" s="131"/>
      <c r="AM57" s="131"/>
      <c r="AN57" s="131"/>
      <c r="AO57" s="131"/>
      <c r="AP57" s="131"/>
      <c r="AQ57" s="131"/>
      <c r="AR57" s="131"/>
      <c r="AS57" s="131"/>
      <c r="AT57" s="131"/>
      <c r="AU57" s="131"/>
      <c r="AV57" s="131"/>
      <c r="AW57" s="131"/>
      <c r="AX57" s="131"/>
      <c r="AY57" s="131"/>
      <c r="AZ57" s="131"/>
      <c r="BA57" s="131"/>
      <c r="BB57" s="131"/>
      <c r="BC57" s="131"/>
      <c r="BD57" s="131"/>
      <c r="BE57" s="131"/>
      <c r="BF57" s="131"/>
      <c r="BG57" s="131"/>
      <c r="BH57" s="131"/>
      <c r="BI57" s="131"/>
      <c r="BJ57" s="131"/>
      <c r="BK57" s="131"/>
      <c r="BL57" s="131"/>
      <c r="BM57" s="131"/>
      <c r="BN57" s="131"/>
      <c r="BO57" s="131"/>
      <c r="BP57" s="131"/>
      <c r="BQ57" s="131"/>
      <c r="BR57" s="131"/>
      <c r="BS57" s="131"/>
      <c r="BT57" s="131"/>
      <c r="BU57" s="131"/>
      <c r="BV57" s="131"/>
      <c r="BW57" s="131"/>
      <c r="BX57" s="131"/>
      <c r="BY57" s="131"/>
      <c r="BZ57" s="131"/>
      <c r="CA57" s="131"/>
      <c r="CB57" s="131"/>
      <c r="CC57" s="131"/>
      <c r="CD57" s="131"/>
      <c r="CE57" s="131"/>
      <c r="CF57" s="131"/>
      <c r="CG57" s="131"/>
      <c r="CH57" s="131"/>
      <c r="CI57" s="131"/>
      <c r="CJ57" s="131"/>
      <c r="CK57" s="131"/>
      <c r="CL57" s="131"/>
      <c r="CM57" s="131"/>
      <c r="CN57" s="131"/>
      <c r="CO57" s="131"/>
      <c r="CP57" s="131"/>
      <c r="CQ57" s="131"/>
      <c r="CR57" s="131"/>
      <c r="CS57" s="131"/>
      <c r="CT57" s="131"/>
      <c r="CU57" s="131"/>
      <c r="CV57" s="131"/>
      <c r="CW57" s="131"/>
      <c r="CX57" s="131"/>
      <c r="CY57" s="131"/>
      <c r="CZ57" s="131"/>
      <c r="DA57" s="131"/>
      <c r="DB57" s="131"/>
      <c r="DC57" s="131"/>
      <c r="DD57" s="131"/>
      <c r="DE57" s="131"/>
      <c r="DF57" s="131"/>
      <c r="DG57" s="131"/>
      <c r="DH57" s="131"/>
      <c r="DI57" s="131"/>
      <c r="DJ57" s="131"/>
    </row>
    <row r="58" spans="1:114" ht="16.5" thickBot="1" x14ac:dyDescent="0.3">
      <c r="A58" s="5"/>
      <c r="O58" s="17" t="s">
        <v>877</v>
      </c>
      <c r="P58" s="215"/>
      <c r="Q58" s="226"/>
      <c r="R58" s="18" t="s">
        <v>1715</v>
      </c>
      <c r="S58" s="89"/>
    </row>
    <row r="59" spans="1:114" ht="16.5" thickBot="1" x14ac:dyDescent="0.3">
      <c r="A59" s="5"/>
      <c r="M59" s="24"/>
      <c r="O59" s="17" t="s">
        <v>878</v>
      </c>
      <c r="P59" s="229"/>
      <c r="Q59" s="230"/>
      <c r="R59" s="230"/>
      <c r="S59" s="231"/>
    </row>
    <row r="60" spans="1:114" ht="16.5" thickBot="1" x14ac:dyDescent="0.3">
      <c r="A60" s="5"/>
      <c r="M60" s="24"/>
      <c r="O60" s="17" t="s">
        <v>879</v>
      </c>
      <c r="P60" s="215"/>
      <c r="Q60" s="216"/>
      <c r="R60" s="216"/>
      <c r="S60" s="217"/>
    </row>
    <row r="61" spans="1:114" ht="109.5" customHeight="1" thickBot="1" x14ac:dyDescent="0.3">
      <c r="A61" s="5"/>
      <c r="M61" s="24"/>
      <c r="O61" s="6" t="s">
        <v>880</v>
      </c>
      <c r="P61" s="98"/>
      <c r="Q61" s="99"/>
      <c r="R61" s="99"/>
      <c r="S61" s="100"/>
    </row>
    <row r="62" spans="1:114" ht="16.5" thickBot="1" x14ac:dyDescent="0.3">
      <c r="A62" s="5"/>
      <c r="M62" s="24"/>
      <c r="O62" s="17" t="s">
        <v>881</v>
      </c>
      <c r="P62" s="215"/>
      <c r="Q62" s="216"/>
      <c r="R62" s="216"/>
      <c r="S62" s="217"/>
    </row>
    <row r="63" spans="1:114" ht="9.75" customHeight="1" x14ac:dyDescent="0.25">
      <c r="A63" s="5"/>
      <c r="O63" s="7"/>
      <c r="S63" s="34"/>
    </row>
    <row r="64" spans="1:114" ht="14.25" customHeight="1" x14ac:dyDescent="0.25">
      <c r="A64" s="5"/>
      <c r="O64" s="209" t="s">
        <v>870</v>
      </c>
      <c r="P64" s="210"/>
      <c r="Q64" s="210"/>
      <c r="R64" s="210"/>
      <c r="S64" s="211"/>
    </row>
    <row r="65" spans="1:19" ht="14.25" customHeight="1" x14ac:dyDescent="0.25">
      <c r="A65" s="5"/>
      <c r="O65" s="209" t="s">
        <v>869</v>
      </c>
      <c r="P65" s="210"/>
      <c r="Q65" s="210"/>
      <c r="R65" s="210"/>
      <c r="S65" s="211"/>
    </row>
    <row r="66" spans="1:19" ht="16.5" thickBot="1" x14ac:dyDescent="0.3">
      <c r="A66" s="5"/>
      <c r="O66" s="212" t="s">
        <v>871</v>
      </c>
      <c r="P66" s="213"/>
      <c r="Q66" s="213"/>
      <c r="R66" s="213"/>
      <c r="S66" s="214"/>
    </row>
    <row r="67" spans="1:19" s="129" customFormat="1" ht="16.5" thickTop="1" x14ac:dyDescent="0.25">
      <c r="B67" s="134"/>
      <c r="C67" s="134"/>
      <c r="D67" s="134"/>
      <c r="E67" s="134"/>
      <c r="F67" s="134"/>
      <c r="G67" s="134"/>
      <c r="H67" s="135"/>
      <c r="I67" s="134"/>
      <c r="J67" s="134"/>
      <c r="K67" s="134"/>
      <c r="L67" s="134"/>
      <c r="M67" s="136"/>
      <c r="N67" s="134"/>
      <c r="O67" s="131"/>
      <c r="P67" s="131"/>
      <c r="Q67" s="131"/>
      <c r="R67" s="131"/>
      <c r="S67" s="131"/>
    </row>
    <row r="68" spans="1:19" s="129" customFormat="1" x14ac:dyDescent="0.25">
      <c r="B68" s="134"/>
      <c r="C68" s="134"/>
      <c r="D68" s="134"/>
      <c r="E68" s="134"/>
      <c r="F68" s="134"/>
      <c r="G68" s="134"/>
      <c r="H68" s="135"/>
      <c r="I68" s="134"/>
      <c r="J68" s="134"/>
      <c r="K68" s="134"/>
      <c r="L68" s="134"/>
      <c r="M68" s="136"/>
      <c r="N68" s="134"/>
      <c r="O68" s="131"/>
      <c r="P68" s="131"/>
      <c r="Q68" s="131"/>
      <c r="R68" s="131"/>
      <c r="S68" s="131"/>
    </row>
    <row r="69" spans="1:19" s="129" customFormat="1" x14ac:dyDescent="0.25">
      <c r="B69" s="134"/>
      <c r="C69" s="134"/>
      <c r="D69" s="134"/>
      <c r="E69" s="134"/>
      <c r="F69" s="134"/>
      <c r="G69" s="134"/>
      <c r="H69" s="135"/>
      <c r="I69" s="134"/>
      <c r="J69" s="134"/>
      <c r="K69" s="134"/>
      <c r="L69" s="134"/>
      <c r="M69" s="136"/>
      <c r="N69" s="134"/>
      <c r="O69" s="131"/>
      <c r="P69" s="131"/>
      <c r="Q69" s="131"/>
      <c r="R69" s="131"/>
      <c r="S69" s="131"/>
    </row>
    <row r="70" spans="1:19" s="129" customFormat="1" x14ac:dyDescent="0.25">
      <c r="B70" s="134"/>
      <c r="C70" s="134"/>
      <c r="D70" s="134"/>
      <c r="E70" s="134"/>
      <c r="F70" s="134"/>
      <c r="G70" s="134"/>
      <c r="H70" s="135"/>
      <c r="I70" s="134"/>
      <c r="J70" s="134"/>
      <c r="K70" s="134"/>
      <c r="L70" s="134"/>
      <c r="M70" s="136"/>
      <c r="N70" s="134"/>
      <c r="O70" s="131"/>
      <c r="P70" s="131"/>
      <c r="Q70" s="131"/>
      <c r="R70" s="131"/>
      <c r="S70" s="131"/>
    </row>
    <row r="71" spans="1:19" s="129" customFormat="1" x14ac:dyDescent="0.25">
      <c r="B71" s="134"/>
      <c r="C71" s="134"/>
      <c r="D71" s="134"/>
      <c r="E71" s="134"/>
      <c r="F71" s="134"/>
      <c r="G71" s="134"/>
      <c r="H71" s="135"/>
      <c r="I71" s="134"/>
      <c r="J71" s="134"/>
      <c r="K71" s="134"/>
      <c r="L71" s="134"/>
      <c r="M71" s="136"/>
      <c r="N71" s="134"/>
      <c r="O71" s="131"/>
      <c r="P71" s="131"/>
      <c r="Q71" s="131"/>
      <c r="R71" s="131"/>
      <c r="S71" s="131"/>
    </row>
    <row r="72" spans="1:19" s="129" customFormat="1" x14ac:dyDescent="0.25">
      <c r="B72" s="134"/>
      <c r="C72" s="134"/>
      <c r="D72" s="134"/>
      <c r="E72" s="134"/>
      <c r="F72" s="134"/>
      <c r="G72" s="134"/>
      <c r="H72" s="135"/>
      <c r="I72" s="134"/>
      <c r="J72" s="134"/>
      <c r="K72" s="134"/>
      <c r="L72" s="134"/>
      <c r="M72" s="136"/>
      <c r="N72" s="134"/>
      <c r="O72" s="131"/>
      <c r="P72" s="131"/>
      <c r="Q72" s="131"/>
      <c r="R72" s="131"/>
      <c r="S72" s="131"/>
    </row>
    <row r="73" spans="1:19" s="129" customFormat="1" x14ac:dyDescent="0.25">
      <c r="B73" s="134"/>
      <c r="C73" s="134"/>
      <c r="D73" s="134"/>
      <c r="E73" s="134"/>
      <c r="F73" s="134"/>
      <c r="G73" s="134"/>
      <c r="H73" s="135"/>
      <c r="I73" s="134"/>
      <c r="J73" s="134"/>
      <c r="K73" s="134"/>
      <c r="L73" s="134"/>
      <c r="M73" s="136"/>
      <c r="N73" s="134"/>
      <c r="O73" s="131"/>
      <c r="P73" s="131"/>
      <c r="Q73" s="131"/>
      <c r="R73" s="131"/>
      <c r="S73" s="131"/>
    </row>
    <row r="74" spans="1:19" s="129" customFormat="1" x14ac:dyDescent="0.25">
      <c r="B74" s="134"/>
      <c r="C74" s="134"/>
      <c r="D74" s="134"/>
      <c r="E74" s="134"/>
      <c r="F74" s="134"/>
      <c r="G74" s="134"/>
      <c r="H74" s="135"/>
      <c r="I74" s="134"/>
      <c r="J74" s="134"/>
      <c r="K74" s="134"/>
      <c r="L74" s="134"/>
      <c r="M74" s="136"/>
      <c r="N74" s="134"/>
      <c r="O74" s="131"/>
      <c r="P74" s="131"/>
      <c r="Q74" s="131"/>
      <c r="R74" s="131"/>
      <c r="S74" s="131"/>
    </row>
    <row r="75" spans="1:19" s="129" customFormat="1" x14ac:dyDescent="0.25">
      <c r="B75" s="134"/>
      <c r="C75" s="134"/>
      <c r="D75" s="134"/>
      <c r="E75" s="134"/>
      <c r="F75" s="134"/>
      <c r="G75" s="134"/>
      <c r="H75" s="135"/>
      <c r="I75" s="134"/>
      <c r="J75" s="134"/>
      <c r="K75" s="134"/>
      <c r="L75" s="134"/>
      <c r="M75" s="136"/>
      <c r="N75" s="134"/>
      <c r="O75" s="131"/>
      <c r="P75" s="131"/>
      <c r="Q75" s="131"/>
      <c r="R75" s="131"/>
      <c r="S75" s="131"/>
    </row>
    <row r="76" spans="1:19" s="129" customFormat="1" x14ac:dyDescent="0.25">
      <c r="B76" s="134"/>
      <c r="C76" s="134"/>
      <c r="D76" s="134"/>
      <c r="E76" s="134"/>
      <c r="F76" s="134"/>
      <c r="G76" s="134"/>
      <c r="H76" s="135"/>
      <c r="I76" s="134"/>
      <c r="J76" s="134"/>
      <c r="K76" s="134"/>
      <c r="L76" s="134"/>
      <c r="M76" s="136"/>
      <c r="N76" s="134"/>
      <c r="O76" s="131"/>
      <c r="P76" s="131"/>
      <c r="Q76" s="131"/>
      <c r="R76" s="131"/>
      <c r="S76" s="131"/>
    </row>
    <row r="77" spans="1:19" s="129" customFormat="1" x14ac:dyDescent="0.25">
      <c r="B77" s="134"/>
      <c r="C77" s="134"/>
      <c r="D77" s="134"/>
      <c r="E77" s="134"/>
      <c r="F77" s="134"/>
      <c r="G77" s="134"/>
      <c r="H77" s="135"/>
      <c r="I77" s="134"/>
      <c r="J77" s="134"/>
      <c r="K77" s="134"/>
      <c r="L77" s="134"/>
      <c r="M77" s="136"/>
      <c r="N77" s="134"/>
      <c r="O77" s="131"/>
      <c r="P77" s="131"/>
      <c r="Q77" s="131"/>
      <c r="R77" s="131"/>
      <c r="S77" s="131"/>
    </row>
    <row r="78" spans="1:19" s="129" customFormat="1" x14ac:dyDescent="0.25">
      <c r="B78" s="134"/>
      <c r="C78" s="134"/>
      <c r="D78" s="134"/>
      <c r="E78" s="134"/>
      <c r="F78" s="134"/>
      <c r="G78" s="134"/>
      <c r="H78" s="135"/>
      <c r="I78" s="134"/>
      <c r="J78" s="134"/>
      <c r="K78" s="134"/>
      <c r="L78" s="134"/>
      <c r="M78" s="136"/>
      <c r="N78" s="134"/>
      <c r="O78" s="131"/>
      <c r="P78" s="131"/>
      <c r="Q78" s="131"/>
      <c r="R78" s="131"/>
      <c r="S78" s="131"/>
    </row>
    <row r="79" spans="1:19" s="129" customFormat="1" x14ac:dyDescent="0.25">
      <c r="B79" s="134"/>
      <c r="C79" s="134"/>
      <c r="D79" s="134"/>
      <c r="E79" s="134"/>
      <c r="F79" s="134"/>
      <c r="G79" s="134"/>
      <c r="H79" s="135"/>
      <c r="I79" s="134"/>
      <c r="J79" s="134"/>
      <c r="K79" s="134"/>
      <c r="L79" s="134"/>
      <c r="M79" s="136"/>
      <c r="N79" s="134"/>
      <c r="O79" s="131"/>
      <c r="P79" s="131"/>
      <c r="Q79" s="131"/>
      <c r="R79" s="131"/>
      <c r="S79" s="131"/>
    </row>
    <row r="80" spans="1:19" s="129" customFormat="1" x14ac:dyDescent="0.25">
      <c r="B80" s="134"/>
      <c r="C80" s="134"/>
      <c r="D80" s="134"/>
      <c r="E80" s="134"/>
      <c r="F80" s="134"/>
      <c r="G80" s="134"/>
      <c r="H80" s="135"/>
      <c r="I80" s="134"/>
      <c r="J80" s="134"/>
      <c r="K80" s="134"/>
      <c r="L80" s="134"/>
      <c r="M80" s="136"/>
      <c r="N80" s="134"/>
      <c r="O80" s="131"/>
      <c r="P80" s="131"/>
      <c r="Q80" s="131"/>
      <c r="R80" s="131"/>
      <c r="S80" s="131"/>
    </row>
    <row r="81" spans="2:19" s="129" customFormat="1" x14ac:dyDescent="0.25">
      <c r="B81" s="134"/>
      <c r="C81" s="134"/>
      <c r="D81" s="134"/>
      <c r="E81" s="134"/>
      <c r="F81" s="134"/>
      <c r="G81" s="134"/>
      <c r="H81" s="135"/>
      <c r="I81" s="134"/>
      <c r="J81" s="134"/>
      <c r="K81" s="134"/>
      <c r="L81" s="134"/>
      <c r="M81" s="136"/>
      <c r="N81" s="134"/>
      <c r="O81" s="131"/>
      <c r="P81" s="131"/>
      <c r="Q81" s="131"/>
      <c r="R81" s="131"/>
      <c r="S81" s="131"/>
    </row>
    <row r="82" spans="2:19" s="129" customFormat="1" x14ac:dyDescent="0.25">
      <c r="B82" s="134"/>
      <c r="C82" s="134"/>
      <c r="D82" s="134"/>
      <c r="E82" s="134"/>
      <c r="F82" s="134"/>
      <c r="G82" s="134"/>
      <c r="H82" s="135"/>
      <c r="I82" s="134"/>
      <c r="J82" s="134"/>
      <c r="K82" s="134"/>
      <c r="L82" s="134"/>
      <c r="M82" s="136"/>
      <c r="N82" s="134"/>
      <c r="O82" s="131"/>
      <c r="P82" s="131"/>
      <c r="Q82" s="131"/>
      <c r="R82" s="131"/>
      <c r="S82" s="131"/>
    </row>
    <row r="83" spans="2:19" s="129" customFormat="1" x14ac:dyDescent="0.25">
      <c r="B83" s="134"/>
      <c r="C83" s="134"/>
      <c r="D83" s="134"/>
      <c r="E83" s="134"/>
      <c r="F83" s="134"/>
      <c r="G83" s="134"/>
      <c r="H83" s="135"/>
      <c r="I83" s="134"/>
      <c r="J83" s="134"/>
      <c r="K83" s="134"/>
      <c r="L83" s="134"/>
      <c r="M83" s="136"/>
      <c r="N83" s="134"/>
      <c r="O83" s="131"/>
      <c r="P83" s="131"/>
      <c r="Q83" s="131"/>
      <c r="R83" s="131"/>
      <c r="S83" s="131"/>
    </row>
    <row r="84" spans="2:19" s="129" customFormat="1" x14ac:dyDescent="0.25">
      <c r="B84" s="134"/>
      <c r="C84" s="134"/>
      <c r="D84" s="134"/>
      <c r="E84" s="134"/>
      <c r="F84" s="134"/>
      <c r="G84" s="134"/>
      <c r="H84" s="135"/>
      <c r="I84" s="134"/>
      <c r="J84" s="134"/>
      <c r="K84" s="134"/>
      <c r="L84" s="134"/>
      <c r="M84" s="136"/>
      <c r="N84" s="134"/>
      <c r="O84" s="131"/>
      <c r="P84" s="131"/>
      <c r="Q84" s="131"/>
      <c r="R84" s="131"/>
      <c r="S84" s="131"/>
    </row>
    <row r="85" spans="2:19" s="129" customFormat="1" x14ac:dyDescent="0.25">
      <c r="B85" s="134"/>
      <c r="C85" s="134"/>
      <c r="D85" s="134"/>
      <c r="E85" s="134"/>
      <c r="F85" s="134"/>
      <c r="G85" s="134"/>
      <c r="H85" s="135"/>
      <c r="I85" s="134"/>
      <c r="J85" s="134"/>
      <c r="K85" s="134"/>
      <c r="L85" s="134"/>
      <c r="M85" s="136"/>
      <c r="N85" s="134"/>
      <c r="O85" s="131"/>
      <c r="P85" s="131"/>
      <c r="Q85" s="131"/>
      <c r="R85" s="131"/>
      <c r="S85" s="131"/>
    </row>
    <row r="86" spans="2:19" s="129" customFormat="1" x14ac:dyDescent="0.25">
      <c r="B86" s="134"/>
      <c r="C86" s="134"/>
      <c r="D86" s="134"/>
      <c r="E86" s="134"/>
      <c r="F86" s="134"/>
      <c r="G86" s="134"/>
      <c r="H86" s="135"/>
      <c r="I86" s="134"/>
      <c r="J86" s="134"/>
      <c r="K86" s="134"/>
      <c r="L86" s="134"/>
      <c r="M86" s="136"/>
      <c r="N86" s="134"/>
      <c r="O86" s="131"/>
      <c r="P86" s="131"/>
      <c r="Q86" s="131"/>
      <c r="R86" s="131"/>
      <c r="S86" s="131"/>
    </row>
    <row r="87" spans="2:19" s="129" customFormat="1" x14ac:dyDescent="0.25">
      <c r="B87" s="134"/>
      <c r="C87" s="134"/>
      <c r="D87" s="134"/>
      <c r="E87" s="134"/>
      <c r="F87" s="134"/>
      <c r="G87" s="134"/>
      <c r="H87" s="135"/>
      <c r="I87" s="134"/>
      <c r="J87" s="134"/>
      <c r="K87" s="134"/>
      <c r="L87" s="134"/>
      <c r="M87" s="136"/>
      <c r="N87" s="134"/>
      <c r="O87" s="131"/>
      <c r="P87" s="131"/>
      <c r="Q87" s="131"/>
      <c r="R87" s="131"/>
      <c r="S87" s="131"/>
    </row>
    <row r="88" spans="2:19" s="129" customFormat="1" x14ac:dyDescent="0.25">
      <c r="B88" s="134"/>
      <c r="C88" s="134"/>
      <c r="D88" s="134"/>
      <c r="E88" s="134"/>
      <c r="F88" s="134"/>
      <c r="G88" s="134"/>
      <c r="H88" s="135"/>
      <c r="I88" s="134"/>
      <c r="J88" s="134"/>
      <c r="K88" s="134"/>
      <c r="L88" s="134"/>
      <c r="M88" s="136"/>
      <c r="N88" s="134"/>
      <c r="O88" s="131"/>
      <c r="P88" s="131"/>
      <c r="Q88" s="131"/>
      <c r="R88" s="131"/>
      <c r="S88" s="131"/>
    </row>
    <row r="89" spans="2:19" s="129" customFormat="1" x14ac:dyDescent="0.25">
      <c r="B89" s="134"/>
      <c r="C89" s="134"/>
      <c r="D89" s="134"/>
      <c r="E89" s="134"/>
      <c r="F89" s="134"/>
      <c r="G89" s="134"/>
      <c r="H89" s="135"/>
      <c r="I89" s="134"/>
      <c r="J89" s="134"/>
      <c r="K89" s="134"/>
      <c r="L89" s="134"/>
      <c r="M89" s="136"/>
      <c r="N89" s="134"/>
      <c r="O89" s="131"/>
      <c r="P89" s="131"/>
      <c r="Q89" s="131"/>
      <c r="R89" s="131"/>
      <c r="S89" s="131"/>
    </row>
    <row r="90" spans="2:19" s="129" customFormat="1" x14ac:dyDescent="0.25">
      <c r="B90" s="134"/>
      <c r="C90" s="134"/>
      <c r="D90" s="134"/>
      <c r="E90" s="134"/>
      <c r="F90" s="134"/>
      <c r="G90" s="134"/>
      <c r="H90" s="135"/>
      <c r="I90" s="134"/>
      <c r="J90" s="134"/>
      <c r="K90" s="134"/>
      <c r="L90" s="134"/>
      <c r="M90" s="136"/>
      <c r="N90" s="134"/>
      <c r="O90" s="131"/>
      <c r="P90" s="131"/>
      <c r="Q90" s="131"/>
      <c r="R90" s="131"/>
      <c r="S90" s="131"/>
    </row>
    <row r="91" spans="2:19" s="129" customFormat="1" x14ac:dyDescent="0.25">
      <c r="B91" s="134"/>
      <c r="C91" s="134"/>
      <c r="D91" s="134"/>
      <c r="E91" s="134"/>
      <c r="F91" s="134"/>
      <c r="G91" s="134"/>
      <c r="H91" s="135"/>
      <c r="I91" s="134"/>
      <c r="J91" s="134"/>
      <c r="K91" s="134"/>
      <c r="L91" s="134"/>
      <c r="M91" s="136"/>
      <c r="N91" s="134"/>
      <c r="O91" s="131"/>
      <c r="P91" s="131"/>
      <c r="Q91" s="131"/>
      <c r="R91" s="131"/>
      <c r="S91" s="131"/>
    </row>
    <row r="92" spans="2:19" s="129" customFormat="1" x14ac:dyDescent="0.25">
      <c r="B92" s="134"/>
      <c r="C92" s="134"/>
      <c r="D92" s="134"/>
      <c r="E92" s="134"/>
      <c r="F92" s="134"/>
      <c r="G92" s="134"/>
      <c r="H92" s="135"/>
      <c r="I92" s="134"/>
      <c r="J92" s="134"/>
      <c r="K92" s="134"/>
      <c r="L92" s="134"/>
      <c r="M92" s="136"/>
      <c r="N92" s="134"/>
      <c r="O92" s="131"/>
      <c r="P92" s="131"/>
      <c r="Q92" s="131"/>
      <c r="R92" s="131"/>
      <c r="S92" s="131"/>
    </row>
    <row r="93" spans="2:19" s="129" customFormat="1" x14ac:dyDescent="0.25">
      <c r="B93" s="134"/>
      <c r="C93" s="134"/>
      <c r="D93" s="134"/>
      <c r="E93" s="134"/>
      <c r="F93" s="134"/>
      <c r="G93" s="134"/>
      <c r="H93" s="135"/>
      <c r="I93" s="134"/>
      <c r="J93" s="134"/>
      <c r="K93" s="134"/>
      <c r="L93" s="134"/>
      <c r="M93" s="136"/>
      <c r="N93" s="134"/>
      <c r="O93" s="131"/>
      <c r="P93" s="131"/>
      <c r="Q93" s="131"/>
      <c r="R93" s="131"/>
      <c r="S93" s="131"/>
    </row>
    <row r="94" spans="2:19" s="129" customFormat="1" x14ac:dyDescent="0.25">
      <c r="B94" s="134"/>
      <c r="C94" s="134"/>
      <c r="D94" s="134"/>
      <c r="E94" s="134"/>
      <c r="F94" s="134"/>
      <c r="G94" s="134"/>
      <c r="H94" s="135"/>
      <c r="I94" s="134"/>
      <c r="J94" s="134"/>
      <c r="K94" s="134"/>
      <c r="L94" s="134"/>
      <c r="M94" s="136"/>
      <c r="N94" s="134"/>
      <c r="O94" s="131"/>
      <c r="P94" s="131"/>
      <c r="Q94" s="131"/>
      <c r="R94" s="131"/>
      <c r="S94" s="131"/>
    </row>
    <row r="95" spans="2:19" s="129" customFormat="1" x14ac:dyDescent="0.25">
      <c r="B95" s="134"/>
      <c r="C95" s="134"/>
      <c r="D95" s="134"/>
      <c r="E95" s="134"/>
      <c r="F95" s="134"/>
      <c r="G95" s="134"/>
      <c r="H95" s="135"/>
      <c r="I95" s="134"/>
      <c r="J95" s="134"/>
      <c r="K95" s="134"/>
      <c r="L95" s="134"/>
      <c r="M95" s="136"/>
      <c r="N95" s="134"/>
      <c r="O95" s="131"/>
      <c r="P95" s="131"/>
      <c r="Q95" s="131"/>
      <c r="R95" s="131"/>
      <c r="S95" s="131"/>
    </row>
    <row r="96" spans="2:19" s="129" customFormat="1" x14ac:dyDescent="0.25">
      <c r="B96" s="134"/>
      <c r="C96" s="134"/>
      <c r="D96" s="134"/>
      <c r="E96" s="134"/>
      <c r="F96" s="134"/>
      <c r="G96" s="134"/>
      <c r="H96" s="135"/>
      <c r="I96" s="134"/>
      <c r="J96" s="134"/>
      <c r="K96" s="134"/>
      <c r="L96" s="134"/>
      <c r="M96" s="136"/>
      <c r="N96" s="134"/>
      <c r="O96" s="131"/>
      <c r="P96" s="131"/>
      <c r="Q96" s="131"/>
      <c r="R96" s="131"/>
      <c r="S96" s="131"/>
    </row>
    <row r="97" spans="2:19" s="129" customFormat="1" x14ac:dyDescent="0.25">
      <c r="B97" s="134"/>
      <c r="C97" s="134"/>
      <c r="D97" s="134"/>
      <c r="E97" s="134"/>
      <c r="F97" s="134"/>
      <c r="G97" s="134"/>
      <c r="H97" s="135"/>
      <c r="I97" s="134"/>
      <c r="J97" s="134"/>
      <c r="K97" s="134"/>
      <c r="L97" s="134"/>
      <c r="M97" s="136"/>
      <c r="N97" s="134"/>
      <c r="O97" s="131"/>
      <c r="P97" s="131"/>
      <c r="Q97" s="131"/>
      <c r="R97" s="131"/>
      <c r="S97" s="131"/>
    </row>
    <row r="98" spans="2:19" s="129" customFormat="1" x14ac:dyDescent="0.25">
      <c r="B98" s="134"/>
      <c r="C98" s="134"/>
      <c r="D98" s="134"/>
      <c r="E98" s="134"/>
      <c r="F98" s="134"/>
      <c r="G98" s="134"/>
      <c r="H98" s="135"/>
      <c r="I98" s="134"/>
      <c r="J98" s="134"/>
      <c r="K98" s="134"/>
      <c r="L98" s="134"/>
      <c r="M98" s="136"/>
      <c r="N98" s="134"/>
      <c r="O98" s="131"/>
      <c r="P98" s="131"/>
      <c r="Q98" s="131"/>
      <c r="R98" s="131"/>
      <c r="S98" s="131"/>
    </row>
    <row r="99" spans="2:19" s="129" customFormat="1" x14ac:dyDescent="0.25">
      <c r="B99" s="134"/>
      <c r="C99" s="134"/>
      <c r="D99" s="134"/>
      <c r="E99" s="134"/>
      <c r="F99" s="134"/>
      <c r="G99" s="134"/>
      <c r="H99" s="135"/>
      <c r="I99" s="134"/>
      <c r="J99" s="134"/>
      <c r="K99" s="134"/>
      <c r="L99" s="134"/>
      <c r="M99" s="136"/>
      <c r="N99" s="134"/>
      <c r="O99" s="131"/>
      <c r="P99" s="131"/>
      <c r="Q99" s="131"/>
      <c r="R99" s="131"/>
      <c r="S99" s="131"/>
    </row>
    <row r="100" spans="2:19" s="129" customFormat="1" x14ac:dyDescent="0.25">
      <c r="B100" s="134"/>
      <c r="C100" s="134"/>
      <c r="D100" s="134"/>
      <c r="E100" s="134"/>
      <c r="F100" s="134"/>
      <c r="G100" s="134"/>
      <c r="H100" s="135"/>
      <c r="I100" s="134"/>
      <c r="J100" s="134"/>
      <c r="K100" s="134"/>
      <c r="L100" s="134"/>
      <c r="M100" s="136"/>
      <c r="N100" s="134"/>
      <c r="O100" s="131"/>
      <c r="P100" s="131"/>
      <c r="Q100" s="131"/>
      <c r="R100" s="131"/>
      <c r="S100" s="131"/>
    </row>
    <row r="101" spans="2:19" s="129" customFormat="1" x14ac:dyDescent="0.25">
      <c r="B101" s="134"/>
      <c r="C101" s="134"/>
      <c r="D101" s="134"/>
      <c r="E101" s="134"/>
      <c r="F101" s="134"/>
      <c r="G101" s="134"/>
      <c r="H101" s="135"/>
      <c r="I101" s="134"/>
      <c r="J101" s="134"/>
      <c r="K101" s="134"/>
      <c r="L101" s="134"/>
      <c r="M101" s="136"/>
      <c r="N101" s="134"/>
      <c r="O101" s="131"/>
      <c r="P101" s="131"/>
      <c r="Q101" s="131"/>
      <c r="R101" s="131"/>
      <c r="S101" s="131"/>
    </row>
    <row r="102" spans="2:19" s="129" customFormat="1" x14ac:dyDescent="0.25">
      <c r="B102" s="134"/>
      <c r="C102" s="134"/>
      <c r="D102" s="134"/>
      <c r="E102" s="134"/>
      <c r="F102" s="134"/>
      <c r="G102" s="134"/>
      <c r="H102" s="135"/>
      <c r="I102" s="134"/>
      <c r="J102" s="134"/>
      <c r="K102" s="134"/>
      <c r="L102" s="134"/>
      <c r="M102" s="136"/>
      <c r="N102" s="134"/>
      <c r="O102" s="131"/>
      <c r="P102" s="131"/>
      <c r="Q102" s="131"/>
      <c r="R102" s="131"/>
      <c r="S102" s="131"/>
    </row>
    <row r="103" spans="2:19" s="129" customFormat="1" x14ac:dyDescent="0.25">
      <c r="B103" s="134"/>
      <c r="C103" s="134"/>
      <c r="D103" s="134"/>
      <c r="E103" s="134"/>
      <c r="F103" s="134"/>
      <c r="G103" s="134"/>
      <c r="H103" s="135"/>
      <c r="I103" s="134"/>
      <c r="J103" s="134"/>
      <c r="K103" s="134"/>
      <c r="L103" s="134"/>
      <c r="M103" s="136"/>
      <c r="N103" s="134"/>
      <c r="O103" s="131"/>
      <c r="P103" s="131"/>
      <c r="Q103" s="131"/>
      <c r="R103" s="131"/>
      <c r="S103" s="131"/>
    </row>
    <row r="104" spans="2:19" s="129" customFormat="1" x14ac:dyDescent="0.25">
      <c r="B104" s="134"/>
      <c r="C104" s="134"/>
      <c r="D104" s="134"/>
      <c r="E104" s="134"/>
      <c r="F104" s="134"/>
      <c r="G104" s="134"/>
      <c r="H104" s="135"/>
      <c r="I104" s="134"/>
      <c r="J104" s="134"/>
      <c r="K104" s="134"/>
      <c r="L104" s="134"/>
      <c r="M104" s="136"/>
      <c r="N104" s="134"/>
      <c r="O104" s="131"/>
      <c r="P104" s="131"/>
      <c r="Q104" s="131"/>
      <c r="R104" s="131"/>
      <c r="S104" s="131"/>
    </row>
    <row r="105" spans="2:19" s="129" customFormat="1" x14ac:dyDescent="0.25">
      <c r="B105" s="134"/>
      <c r="C105" s="134"/>
      <c r="D105" s="134"/>
      <c r="E105" s="134"/>
      <c r="F105" s="134"/>
      <c r="G105" s="134"/>
      <c r="H105" s="135"/>
      <c r="I105" s="134"/>
      <c r="J105" s="134"/>
      <c r="K105" s="134"/>
      <c r="L105" s="134"/>
      <c r="M105" s="136"/>
      <c r="N105" s="134"/>
      <c r="O105" s="131"/>
      <c r="P105" s="131"/>
      <c r="Q105" s="131"/>
      <c r="R105" s="131"/>
      <c r="S105" s="131"/>
    </row>
    <row r="106" spans="2:19" s="129" customFormat="1" x14ac:dyDescent="0.25">
      <c r="B106" s="134"/>
      <c r="C106" s="134"/>
      <c r="D106" s="134"/>
      <c r="E106" s="134"/>
      <c r="F106" s="134"/>
      <c r="G106" s="134"/>
      <c r="H106" s="135"/>
      <c r="I106" s="134"/>
      <c r="J106" s="134"/>
      <c r="K106" s="134"/>
      <c r="L106" s="134"/>
      <c r="M106" s="136"/>
      <c r="N106" s="134"/>
      <c r="O106" s="131"/>
      <c r="P106" s="131"/>
      <c r="Q106" s="131"/>
      <c r="R106" s="131"/>
      <c r="S106" s="131"/>
    </row>
    <row r="107" spans="2:19" s="129" customFormat="1" x14ac:dyDescent="0.25">
      <c r="B107" s="134"/>
      <c r="C107" s="134"/>
      <c r="D107" s="134"/>
      <c r="E107" s="134"/>
      <c r="F107" s="134"/>
      <c r="G107" s="134"/>
      <c r="H107" s="135"/>
      <c r="I107" s="134"/>
      <c r="J107" s="134"/>
      <c r="K107" s="134"/>
      <c r="L107" s="134"/>
      <c r="M107" s="136"/>
      <c r="N107" s="134"/>
      <c r="O107" s="131"/>
      <c r="P107" s="131"/>
      <c r="Q107" s="131"/>
      <c r="R107" s="131"/>
      <c r="S107" s="131"/>
    </row>
    <row r="108" spans="2:19" s="129" customFormat="1" x14ac:dyDescent="0.25">
      <c r="B108" s="134"/>
      <c r="C108" s="134"/>
      <c r="D108" s="134"/>
      <c r="E108" s="134"/>
      <c r="F108" s="134"/>
      <c r="G108" s="134"/>
      <c r="H108" s="135"/>
      <c r="I108" s="134"/>
      <c r="J108" s="134"/>
      <c r="K108" s="134"/>
      <c r="L108" s="134"/>
      <c r="M108" s="136"/>
      <c r="N108" s="134"/>
      <c r="O108" s="131"/>
      <c r="P108" s="131"/>
      <c r="Q108" s="131"/>
      <c r="R108" s="131"/>
      <c r="S108" s="131"/>
    </row>
    <row r="109" spans="2:19" s="129" customFormat="1" x14ac:dyDescent="0.25">
      <c r="B109" s="134"/>
      <c r="C109" s="134"/>
      <c r="D109" s="134"/>
      <c r="E109" s="134"/>
      <c r="F109" s="134"/>
      <c r="G109" s="134"/>
      <c r="H109" s="135"/>
      <c r="I109" s="134"/>
      <c r="J109" s="134"/>
      <c r="K109" s="134"/>
      <c r="L109" s="134"/>
      <c r="M109" s="136"/>
      <c r="N109" s="134"/>
      <c r="O109" s="131"/>
      <c r="P109" s="131"/>
      <c r="Q109" s="131"/>
      <c r="R109" s="131"/>
      <c r="S109" s="131"/>
    </row>
    <row r="110" spans="2:19" s="129" customFormat="1" x14ac:dyDescent="0.25">
      <c r="B110" s="134"/>
      <c r="C110" s="134"/>
      <c r="D110" s="134"/>
      <c r="E110" s="134"/>
      <c r="F110" s="134"/>
      <c r="G110" s="134"/>
      <c r="H110" s="135"/>
      <c r="I110" s="134"/>
      <c r="J110" s="134"/>
      <c r="K110" s="134"/>
      <c r="L110" s="134"/>
      <c r="M110" s="136"/>
      <c r="N110" s="134"/>
      <c r="O110" s="131"/>
      <c r="P110" s="131"/>
      <c r="Q110" s="131"/>
      <c r="R110" s="131"/>
      <c r="S110" s="131"/>
    </row>
    <row r="111" spans="2:19" s="129" customFormat="1" x14ac:dyDescent="0.25">
      <c r="B111" s="134"/>
      <c r="C111" s="134"/>
      <c r="D111" s="134"/>
      <c r="E111" s="134"/>
      <c r="F111" s="134"/>
      <c r="G111" s="134"/>
      <c r="H111" s="135"/>
      <c r="I111" s="134"/>
      <c r="J111" s="134"/>
      <c r="K111" s="134"/>
      <c r="L111" s="134"/>
      <c r="M111" s="136"/>
      <c r="N111" s="134"/>
      <c r="O111" s="131"/>
      <c r="P111" s="131"/>
      <c r="Q111" s="131"/>
      <c r="R111" s="131"/>
      <c r="S111" s="131"/>
    </row>
    <row r="112" spans="2:19" s="129" customFormat="1" x14ac:dyDescent="0.25">
      <c r="B112" s="134"/>
      <c r="C112" s="134"/>
      <c r="D112" s="134"/>
      <c r="E112" s="134"/>
      <c r="F112" s="134"/>
      <c r="G112" s="134"/>
      <c r="H112" s="135"/>
      <c r="I112" s="134"/>
      <c r="J112" s="134"/>
      <c r="K112" s="134"/>
      <c r="L112" s="134"/>
      <c r="M112" s="136"/>
      <c r="N112" s="134"/>
      <c r="O112" s="131"/>
      <c r="P112" s="131"/>
      <c r="Q112" s="131"/>
      <c r="R112" s="131"/>
      <c r="S112" s="131"/>
    </row>
    <row r="113" spans="2:19" s="129" customFormat="1" x14ac:dyDescent="0.25">
      <c r="B113" s="134"/>
      <c r="C113" s="134"/>
      <c r="D113" s="134"/>
      <c r="E113" s="134"/>
      <c r="F113" s="134"/>
      <c r="G113" s="134"/>
      <c r="H113" s="135"/>
      <c r="I113" s="134"/>
      <c r="J113" s="134"/>
      <c r="K113" s="134"/>
      <c r="L113" s="134"/>
      <c r="M113" s="136"/>
      <c r="N113" s="134"/>
      <c r="O113" s="131"/>
      <c r="P113" s="131"/>
      <c r="Q113" s="131"/>
      <c r="R113" s="131"/>
      <c r="S113" s="131"/>
    </row>
    <row r="114" spans="2:19" s="129" customFormat="1" x14ac:dyDescent="0.25">
      <c r="B114" s="134"/>
      <c r="C114" s="134"/>
      <c r="D114" s="134"/>
      <c r="E114" s="134"/>
      <c r="F114" s="134"/>
      <c r="G114" s="134"/>
      <c r="H114" s="135"/>
      <c r="I114" s="134"/>
      <c r="J114" s="134"/>
      <c r="K114" s="134"/>
      <c r="L114" s="134"/>
      <c r="M114" s="136"/>
      <c r="N114" s="134"/>
      <c r="O114" s="131"/>
      <c r="P114" s="131"/>
      <c r="Q114" s="131"/>
      <c r="R114" s="131"/>
      <c r="S114" s="131"/>
    </row>
    <row r="115" spans="2:19" s="129" customFormat="1" x14ac:dyDescent="0.25">
      <c r="B115" s="134"/>
      <c r="C115" s="134"/>
      <c r="D115" s="134"/>
      <c r="E115" s="134"/>
      <c r="F115" s="134"/>
      <c r="G115" s="134"/>
      <c r="H115" s="135"/>
      <c r="I115" s="134"/>
      <c r="J115" s="134"/>
      <c r="K115" s="134"/>
      <c r="L115" s="134"/>
      <c r="M115" s="136"/>
      <c r="N115" s="134"/>
      <c r="O115" s="131"/>
      <c r="P115" s="131"/>
      <c r="Q115" s="131"/>
      <c r="R115" s="131"/>
      <c r="S115" s="131"/>
    </row>
    <row r="116" spans="2:19" s="129" customFormat="1" x14ac:dyDescent="0.25">
      <c r="B116" s="134"/>
      <c r="C116" s="134"/>
      <c r="D116" s="134"/>
      <c r="E116" s="134"/>
      <c r="F116" s="134"/>
      <c r="G116" s="134"/>
      <c r="H116" s="135"/>
      <c r="I116" s="134"/>
      <c r="J116" s="134"/>
      <c r="K116" s="134"/>
      <c r="L116" s="134"/>
      <c r="M116" s="136"/>
      <c r="N116" s="134"/>
      <c r="O116" s="131"/>
      <c r="P116" s="131"/>
      <c r="Q116" s="131"/>
      <c r="R116" s="131"/>
      <c r="S116" s="131"/>
    </row>
    <row r="117" spans="2:19" s="129" customFormat="1" x14ac:dyDescent="0.25">
      <c r="B117" s="134"/>
      <c r="C117" s="134"/>
      <c r="D117" s="134"/>
      <c r="E117" s="134"/>
      <c r="F117" s="134"/>
      <c r="G117" s="134"/>
      <c r="H117" s="135"/>
      <c r="I117" s="134"/>
      <c r="J117" s="134"/>
      <c r="K117" s="134"/>
      <c r="L117" s="134"/>
      <c r="M117" s="136"/>
      <c r="N117" s="134"/>
      <c r="O117" s="131"/>
      <c r="P117" s="131"/>
      <c r="Q117" s="131"/>
      <c r="R117" s="131"/>
      <c r="S117" s="131"/>
    </row>
    <row r="118" spans="2:19" s="129" customFormat="1" x14ac:dyDescent="0.25">
      <c r="B118" s="134"/>
      <c r="C118" s="134"/>
      <c r="D118" s="134"/>
      <c r="E118" s="134"/>
      <c r="F118" s="134"/>
      <c r="G118" s="134"/>
      <c r="H118" s="135"/>
      <c r="I118" s="134"/>
      <c r="J118" s="134"/>
      <c r="K118" s="134"/>
      <c r="L118" s="134"/>
      <c r="M118" s="136"/>
      <c r="N118" s="134"/>
      <c r="O118" s="131"/>
      <c r="P118" s="131"/>
      <c r="Q118" s="131"/>
      <c r="R118" s="131"/>
      <c r="S118" s="131"/>
    </row>
    <row r="119" spans="2:19" s="129" customFormat="1" x14ac:dyDescent="0.25">
      <c r="B119" s="134"/>
      <c r="C119" s="134"/>
      <c r="D119" s="134"/>
      <c r="E119" s="134"/>
      <c r="F119" s="134"/>
      <c r="G119" s="134"/>
      <c r="H119" s="135"/>
      <c r="I119" s="134"/>
      <c r="J119" s="134"/>
      <c r="K119" s="134"/>
      <c r="L119" s="134"/>
      <c r="M119" s="136"/>
      <c r="N119" s="134"/>
      <c r="O119" s="131"/>
      <c r="P119" s="131"/>
      <c r="Q119" s="131"/>
      <c r="R119" s="131"/>
      <c r="S119" s="131"/>
    </row>
    <row r="120" spans="2:19" s="129" customFormat="1" x14ac:dyDescent="0.25">
      <c r="B120" s="134"/>
      <c r="C120" s="134"/>
      <c r="D120" s="134"/>
      <c r="E120" s="134"/>
      <c r="F120" s="134"/>
      <c r="G120" s="134"/>
      <c r="H120" s="135"/>
      <c r="I120" s="134"/>
      <c r="J120" s="134"/>
      <c r="K120" s="134"/>
      <c r="L120" s="134"/>
      <c r="M120" s="136"/>
      <c r="N120" s="134"/>
      <c r="O120" s="131"/>
      <c r="P120" s="131"/>
      <c r="Q120" s="131"/>
      <c r="R120" s="131"/>
      <c r="S120" s="131"/>
    </row>
    <row r="121" spans="2:19" s="129" customFormat="1" x14ac:dyDescent="0.25">
      <c r="B121" s="134"/>
      <c r="C121" s="134"/>
      <c r="D121" s="134"/>
      <c r="E121" s="134"/>
      <c r="F121" s="134"/>
      <c r="G121" s="134"/>
      <c r="H121" s="135"/>
      <c r="I121" s="134"/>
      <c r="J121" s="134"/>
      <c r="K121" s="134"/>
      <c r="L121" s="134"/>
      <c r="M121" s="136"/>
      <c r="N121" s="134"/>
      <c r="O121" s="131"/>
      <c r="P121" s="131"/>
      <c r="Q121" s="131"/>
      <c r="R121" s="131"/>
      <c r="S121" s="131"/>
    </row>
    <row r="122" spans="2:19" s="129" customFormat="1" x14ac:dyDescent="0.25">
      <c r="B122" s="134"/>
      <c r="C122" s="134"/>
      <c r="D122" s="134"/>
      <c r="E122" s="134"/>
      <c r="F122" s="134"/>
      <c r="G122" s="134"/>
      <c r="H122" s="135"/>
      <c r="I122" s="134"/>
      <c r="J122" s="134"/>
      <c r="K122" s="134"/>
      <c r="L122" s="134"/>
      <c r="M122" s="136"/>
      <c r="N122" s="134"/>
      <c r="O122" s="131"/>
      <c r="P122" s="131"/>
      <c r="Q122" s="131"/>
      <c r="R122" s="131"/>
      <c r="S122" s="131"/>
    </row>
    <row r="123" spans="2:19" s="129" customFormat="1" x14ac:dyDescent="0.25">
      <c r="B123" s="134"/>
      <c r="C123" s="134"/>
      <c r="D123" s="134"/>
      <c r="E123" s="134"/>
      <c r="F123" s="134"/>
      <c r="G123" s="134"/>
      <c r="H123" s="135"/>
      <c r="I123" s="134"/>
      <c r="J123" s="134"/>
      <c r="K123" s="134"/>
      <c r="L123" s="134"/>
      <c r="M123" s="136"/>
      <c r="N123" s="134"/>
      <c r="O123" s="131"/>
      <c r="P123" s="131"/>
      <c r="Q123" s="131"/>
      <c r="R123" s="131"/>
      <c r="S123" s="131"/>
    </row>
    <row r="124" spans="2:19" s="129" customFormat="1" x14ac:dyDescent="0.25">
      <c r="B124" s="134"/>
      <c r="C124" s="134"/>
      <c r="D124" s="134"/>
      <c r="E124" s="134"/>
      <c r="F124" s="134"/>
      <c r="G124" s="134"/>
      <c r="H124" s="135"/>
      <c r="I124" s="134"/>
      <c r="J124" s="134"/>
      <c r="K124" s="134"/>
      <c r="L124" s="134"/>
      <c r="M124" s="136"/>
      <c r="N124" s="134"/>
      <c r="O124" s="131"/>
      <c r="P124" s="131"/>
      <c r="Q124" s="131"/>
      <c r="R124" s="131"/>
      <c r="S124" s="131"/>
    </row>
    <row r="125" spans="2:19" s="129" customFormat="1" x14ac:dyDescent="0.25">
      <c r="B125" s="134"/>
      <c r="C125" s="134"/>
      <c r="D125" s="134"/>
      <c r="E125" s="134"/>
      <c r="F125" s="134"/>
      <c r="G125" s="134"/>
      <c r="H125" s="135"/>
      <c r="I125" s="134"/>
      <c r="J125" s="134"/>
      <c r="K125" s="134"/>
      <c r="L125" s="134"/>
      <c r="M125" s="136"/>
      <c r="N125" s="134"/>
      <c r="O125" s="131"/>
      <c r="P125" s="131"/>
      <c r="Q125" s="131"/>
      <c r="R125" s="131"/>
      <c r="S125" s="131"/>
    </row>
    <row r="126" spans="2:19" s="129" customFormat="1" x14ac:dyDescent="0.25">
      <c r="B126" s="134"/>
      <c r="C126" s="134"/>
      <c r="D126" s="134"/>
      <c r="E126" s="134"/>
      <c r="F126" s="134"/>
      <c r="G126" s="134"/>
      <c r="H126" s="135"/>
      <c r="I126" s="134"/>
      <c r="J126" s="134"/>
      <c r="K126" s="134"/>
      <c r="L126" s="134"/>
      <c r="M126" s="136"/>
      <c r="N126" s="134"/>
      <c r="O126" s="131"/>
      <c r="P126" s="131"/>
      <c r="Q126" s="131"/>
      <c r="R126" s="131"/>
      <c r="S126" s="131"/>
    </row>
    <row r="127" spans="2:19" s="129" customFormat="1" x14ac:dyDescent="0.25">
      <c r="B127" s="134"/>
      <c r="C127" s="134"/>
      <c r="D127" s="134"/>
      <c r="E127" s="134"/>
      <c r="F127" s="134"/>
      <c r="G127" s="134"/>
      <c r="H127" s="135"/>
      <c r="I127" s="134"/>
      <c r="J127" s="134"/>
      <c r="K127" s="134"/>
      <c r="L127" s="134"/>
      <c r="M127" s="136"/>
      <c r="N127" s="134"/>
      <c r="O127" s="131"/>
      <c r="P127" s="131"/>
      <c r="Q127" s="131"/>
      <c r="R127" s="131"/>
      <c r="S127" s="131"/>
    </row>
    <row r="128" spans="2:19" s="129" customFormat="1" x14ac:dyDescent="0.25">
      <c r="B128" s="134"/>
      <c r="C128" s="134"/>
      <c r="D128" s="134"/>
      <c r="E128" s="134"/>
      <c r="F128" s="134"/>
      <c r="G128" s="134"/>
      <c r="H128" s="135"/>
      <c r="I128" s="134"/>
      <c r="J128" s="134"/>
      <c r="K128" s="134"/>
      <c r="L128" s="134"/>
      <c r="M128" s="136"/>
      <c r="N128" s="134"/>
      <c r="O128" s="131"/>
      <c r="P128" s="131"/>
      <c r="Q128" s="131"/>
      <c r="R128" s="131"/>
      <c r="S128" s="131"/>
    </row>
    <row r="129" spans="2:19" s="129" customFormat="1" x14ac:dyDescent="0.25">
      <c r="B129" s="134"/>
      <c r="C129" s="134"/>
      <c r="D129" s="134"/>
      <c r="E129" s="134"/>
      <c r="F129" s="134"/>
      <c r="G129" s="134"/>
      <c r="H129" s="135"/>
      <c r="I129" s="134"/>
      <c r="J129" s="134"/>
      <c r="K129" s="134"/>
      <c r="L129" s="134"/>
      <c r="M129" s="136"/>
      <c r="N129" s="134"/>
      <c r="O129" s="131"/>
      <c r="P129" s="131"/>
      <c r="Q129" s="131"/>
      <c r="R129" s="131"/>
      <c r="S129" s="131"/>
    </row>
    <row r="130" spans="2:19" s="129" customFormat="1" x14ac:dyDescent="0.25">
      <c r="B130" s="134"/>
      <c r="C130" s="134"/>
      <c r="D130" s="134"/>
      <c r="E130" s="134"/>
      <c r="F130" s="134"/>
      <c r="G130" s="134"/>
      <c r="H130" s="135"/>
      <c r="I130" s="134"/>
      <c r="J130" s="134"/>
      <c r="K130" s="134"/>
      <c r="L130" s="134"/>
      <c r="M130" s="136"/>
      <c r="N130" s="134"/>
      <c r="O130" s="131"/>
      <c r="P130" s="131"/>
      <c r="Q130" s="131"/>
      <c r="R130" s="131"/>
      <c r="S130" s="131"/>
    </row>
    <row r="131" spans="2:19" s="129" customFormat="1" x14ac:dyDescent="0.25">
      <c r="B131" s="134"/>
      <c r="C131" s="134"/>
      <c r="D131" s="134"/>
      <c r="E131" s="134"/>
      <c r="F131" s="134"/>
      <c r="G131" s="134"/>
      <c r="H131" s="135"/>
      <c r="I131" s="134"/>
      <c r="J131" s="134"/>
      <c r="K131" s="134"/>
      <c r="L131" s="134"/>
      <c r="M131" s="136"/>
      <c r="N131" s="134"/>
      <c r="O131" s="131"/>
      <c r="P131" s="131"/>
      <c r="Q131" s="131"/>
      <c r="R131" s="131"/>
      <c r="S131" s="131"/>
    </row>
    <row r="132" spans="2:19" s="129" customFormat="1" x14ac:dyDescent="0.25">
      <c r="B132" s="134"/>
      <c r="C132" s="134"/>
      <c r="D132" s="134"/>
      <c r="E132" s="134"/>
      <c r="F132" s="134"/>
      <c r="G132" s="134"/>
      <c r="H132" s="135"/>
      <c r="I132" s="134"/>
      <c r="J132" s="134"/>
      <c r="K132" s="134"/>
      <c r="L132" s="134"/>
      <c r="M132" s="136"/>
      <c r="N132" s="134"/>
      <c r="O132" s="131"/>
      <c r="P132" s="131"/>
      <c r="Q132" s="131"/>
      <c r="R132" s="131"/>
      <c r="S132" s="131"/>
    </row>
    <row r="133" spans="2:19" s="129" customFormat="1" x14ac:dyDescent="0.25">
      <c r="B133" s="134"/>
      <c r="C133" s="134"/>
      <c r="D133" s="134"/>
      <c r="E133" s="134"/>
      <c r="F133" s="134"/>
      <c r="G133" s="134"/>
      <c r="H133" s="135"/>
      <c r="I133" s="134"/>
      <c r="J133" s="134"/>
      <c r="K133" s="134"/>
      <c r="L133" s="134"/>
      <c r="M133" s="136"/>
      <c r="N133" s="134"/>
      <c r="O133" s="131"/>
      <c r="P133" s="131"/>
      <c r="Q133" s="131"/>
      <c r="R133" s="131"/>
      <c r="S133" s="131"/>
    </row>
    <row r="134" spans="2:19" s="129" customFormat="1" x14ac:dyDescent="0.25">
      <c r="B134" s="134"/>
      <c r="C134" s="134"/>
      <c r="D134" s="134"/>
      <c r="E134" s="134"/>
      <c r="F134" s="134"/>
      <c r="G134" s="134"/>
      <c r="H134" s="135"/>
      <c r="I134" s="134"/>
      <c r="J134" s="134"/>
      <c r="K134" s="134"/>
      <c r="L134" s="134"/>
      <c r="M134" s="136"/>
      <c r="N134" s="134"/>
      <c r="O134" s="131"/>
      <c r="P134" s="131"/>
      <c r="Q134" s="131"/>
      <c r="R134" s="131"/>
      <c r="S134" s="131"/>
    </row>
    <row r="135" spans="2:19" s="129" customFormat="1" x14ac:dyDescent="0.25">
      <c r="B135" s="134"/>
      <c r="C135" s="134"/>
      <c r="D135" s="134"/>
      <c r="E135" s="134"/>
      <c r="F135" s="134"/>
      <c r="G135" s="134"/>
      <c r="H135" s="135"/>
      <c r="I135" s="134"/>
      <c r="J135" s="134"/>
      <c r="K135" s="134"/>
      <c r="L135" s="134"/>
      <c r="M135" s="136"/>
      <c r="N135" s="134"/>
      <c r="O135" s="131"/>
      <c r="P135" s="131"/>
      <c r="Q135" s="131"/>
      <c r="R135" s="131"/>
      <c r="S135" s="131"/>
    </row>
    <row r="136" spans="2:19" s="129" customFormat="1" x14ac:dyDescent="0.25">
      <c r="B136" s="134"/>
      <c r="C136" s="134"/>
      <c r="D136" s="134"/>
      <c r="E136" s="134"/>
      <c r="F136" s="134"/>
      <c r="G136" s="134"/>
      <c r="H136" s="135"/>
      <c r="I136" s="134"/>
      <c r="J136" s="134"/>
      <c r="K136" s="134"/>
      <c r="L136" s="134"/>
      <c r="M136" s="136"/>
      <c r="N136" s="134"/>
      <c r="O136" s="131"/>
      <c r="P136" s="131"/>
      <c r="Q136" s="131"/>
      <c r="R136" s="131"/>
      <c r="S136" s="131"/>
    </row>
    <row r="137" spans="2:19" s="129" customFormat="1" x14ac:dyDescent="0.25">
      <c r="B137" s="134"/>
      <c r="C137" s="134"/>
      <c r="D137" s="134"/>
      <c r="E137" s="134"/>
      <c r="F137" s="134"/>
      <c r="G137" s="134"/>
      <c r="H137" s="135"/>
      <c r="I137" s="134"/>
      <c r="J137" s="134"/>
      <c r="K137" s="134"/>
      <c r="L137" s="134"/>
      <c r="M137" s="136"/>
      <c r="N137" s="134"/>
      <c r="O137" s="131"/>
      <c r="P137" s="131"/>
      <c r="Q137" s="131"/>
      <c r="R137" s="131"/>
      <c r="S137" s="131"/>
    </row>
    <row r="138" spans="2:19" s="129" customFormat="1" x14ac:dyDescent="0.25">
      <c r="B138" s="134"/>
      <c r="C138" s="134"/>
      <c r="D138" s="134"/>
      <c r="E138" s="134"/>
      <c r="F138" s="134"/>
      <c r="G138" s="134"/>
      <c r="H138" s="135"/>
      <c r="I138" s="134"/>
      <c r="J138" s="134"/>
      <c r="K138" s="134"/>
      <c r="L138" s="134"/>
      <c r="M138" s="136"/>
      <c r="N138" s="134"/>
      <c r="O138" s="131"/>
      <c r="P138" s="131"/>
      <c r="Q138" s="131"/>
      <c r="R138" s="131"/>
      <c r="S138" s="131"/>
    </row>
    <row r="139" spans="2:19" s="129" customFormat="1" x14ac:dyDescent="0.25">
      <c r="B139" s="134"/>
      <c r="C139" s="134"/>
      <c r="D139" s="134"/>
      <c r="E139" s="134"/>
      <c r="F139" s="134"/>
      <c r="G139" s="134"/>
      <c r="H139" s="135"/>
      <c r="I139" s="134"/>
      <c r="J139" s="134"/>
      <c r="K139" s="134"/>
      <c r="L139" s="134"/>
      <c r="M139" s="136"/>
      <c r="N139" s="134"/>
      <c r="O139" s="131"/>
      <c r="P139" s="131"/>
      <c r="Q139" s="131"/>
      <c r="R139" s="131"/>
      <c r="S139" s="131"/>
    </row>
    <row r="140" spans="2:19" s="129" customFormat="1" x14ac:dyDescent="0.25">
      <c r="B140" s="134"/>
      <c r="C140" s="134"/>
      <c r="D140" s="134"/>
      <c r="E140" s="134"/>
      <c r="F140" s="134"/>
      <c r="G140" s="134"/>
      <c r="H140" s="135"/>
      <c r="I140" s="134"/>
      <c r="J140" s="134"/>
      <c r="K140" s="134"/>
      <c r="L140" s="134"/>
      <c r="M140" s="136"/>
      <c r="N140" s="134"/>
      <c r="O140" s="131"/>
      <c r="P140" s="131"/>
      <c r="Q140" s="131"/>
      <c r="R140" s="131"/>
      <c r="S140" s="131"/>
    </row>
    <row r="141" spans="2:19" s="129" customFormat="1" x14ac:dyDescent="0.25">
      <c r="B141" s="134"/>
      <c r="C141" s="134"/>
      <c r="D141" s="134"/>
      <c r="E141" s="134"/>
      <c r="F141" s="134"/>
      <c r="G141" s="134"/>
      <c r="H141" s="135"/>
      <c r="I141" s="134"/>
      <c r="J141" s="134"/>
      <c r="K141" s="134"/>
      <c r="L141" s="134"/>
      <c r="M141" s="136"/>
      <c r="N141" s="134"/>
      <c r="O141" s="131"/>
      <c r="P141" s="131"/>
      <c r="Q141" s="131"/>
      <c r="R141" s="131"/>
      <c r="S141" s="131"/>
    </row>
    <row r="142" spans="2:19" s="129" customFormat="1" x14ac:dyDescent="0.25">
      <c r="B142" s="134"/>
      <c r="C142" s="134"/>
      <c r="D142" s="134"/>
      <c r="E142" s="134"/>
      <c r="F142" s="134"/>
      <c r="G142" s="134"/>
      <c r="H142" s="135"/>
      <c r="I142" s="134"/>
      <c r="J142" s="134"/>
      <c r="K142" s="134"/>
      <c r="L142" s="134"/>
      <c r="M142" s="136"/>
      <c r="N142" s="134"/>
      <c r="O142" s="131"/>
      <c r="P142" s="131"/>
      <c r="Q142" s="131"/>
      <c r="R142" s="131"/>
      <c r="S142" s="131"/>
    </row>
    <row r="143" spans="2:19" s="129" customFormat="1" x14ac:dyDescent="0.25">
      <c r="B143" s="134"/>
      <c r="C143" s="134"/>
      <c r="D143" s="134"/>
      <c r="E143" s="134"/>
      <c r="F143" s="134"/>
      <c r="G143" s="134"/>
      <c r="H143" s="135"/>
      <c r="I143" s="134"/>
      <c r="J143" s="134"/>
      <c r="K143" s="134"/>
      <c r="L143" s="134"/>
      <c r="M143" s="136"/>
      <c r="N143" s="134"/>
      <c r="O143" s="131"/>
      <c r="P143" s="131"/>
      <c r="Q143" s="131"/>
      <c r="R143" s="131"/>
      <c r="S143" s="131"/>
    </row>
    <row r="144" spans="2:19" s="129" customFormat="1" x14ac:dyDescent="0.25">
      <c r="B144" s="134"/>
      <c r="C144" s="134"/>
      <c r="D144" s="134"/>
      <c r="E144" s="134"/>
      <c r="F144" s="134"/>
      <c r="G144" s="134"/>
      <c r="H144" s="135"/>
      <c r="I144" s="134"/>
      <c r="J144" s="134"/>
      <c r="K144" s="134"/>
      <c r="L144" s="134"/>
      <c r="M144" s="136"/>
      <c r="N144" s="134"/>
      <c r="O144" s="131"/>
      <c r="P144" s="131"/>
      <c r="Q144" s="131"/>
      <c r="R144" s="131"/>
      <c r="S144" s="131"/>
    </row>
    <row r="145" spans="2:19" s="129" customFormat="1" x14ac:dyDescent="0.25">
      <c r="B145" s="134"/>
      <c r="C145" s="134"/>
      <c r="D145" s="134"/>
      <c r="E145" s="134"/>
      <c r="F145" s="134"/>
      <c r="G145" s="134"/>
      <c r="H145" s="135"/>
      <c r="I145" s="134"/>
      <c r="J145" s="134"/>
      <c r="K145" s="134"/>
      <c r="L145" s="134"/>
      <c r="M145" s="136"/>
      <c r="N145" s="134"/>
      <c r="O145" s="131"/>
      <c r="P145" s="131"/>
      <c r="Q145" s="131"/>
      <c r="R145" s="131"/>
      <c r="S145" s="131"/>
    </row>
    <row r="146" spans="2:19" s="129" customFormat="1" x14ac:dyDescent="0.25">
      <c r="B146" s="134"/>
      <c r="C146" s="134"/>
      <c r="D146" s="134"/>
      <c r="E146" s="134"/>
      <c r="F146" s="134"/>
      <c r="G146" s="134"/>
      <c r="H146" s="135"/>
      <c r="I146" s="134"/>
      <c r="J146" s="134"/>
      <c r="K146" s="134"/>
      <c r="L146" s="134"/>
      <c r="M146" s="136"/>
      <c r="N146" s="134"/>
      <c r="O146" s="131"/>
      <c r="P146" s="131"/>
      <c r="Q146" s="131"/>
      <c r="R146" s="131"/>
      <c r="S146" s="131"/>
    </row>
    <row r="147" spans="2:19" s="129" customFormat="1" x14ac:dyDescent="0.25">
      <c r="B147" s="134"/>
      <c r="C147" s="134"/>
      <c r="D147" s="134"/>
      <c r="E147" s="134"/>
      <c r="F147" s="134"/>
      <c r="G147" s="134"/>
      <c r="H147" s="135"/>
      <c r="I147" s="134"/>
      <c r="J147" s="134"/>
      <c r="K147" s="134"/>
      <c r="L147" s="134"/>
      <c r="M147" s="136"/>
      <c r="N147" s="134"/>
      <c r="O147" s="131"/>
      <c r="P147" s="131"/>
      <c r="Q147" s="131"/>
      <c r="R147" s="131"/>
      <c r="S147" s="131"/>
    </row>
    <row r="148" spans="2:19" s="129" customFormat="1" x14ac:dyDescent="0.25">
      <c r="B148" s="134"/>
      <c r="C148" s="134"/>
      <c r="D148" s="134"/>
      <c r="E148" s="134"/>
      <c r="F148" s="134"/>
      <c r="G148" s="134"/>
      <c r="H148" s="135"/>
      <c r="I148" s="134"/>
      <c r="J148" s="134"/>
      <c r="K148" s="134"/>
      <c r="L148" s="134"/>
      <c r="M148" s="136"/>
      <c r="N148" s="134"/>
      <c r="O148" s="131"/>
      <c r="P148" s="131"/>
      <c r="Q148" s="131"/>
      <c r="R148" s="131"/>
      <c r="S148" s="131"/>
    </row>
    <row r="149" spans="2:19" s="129" customFormat="1" x14ac:dyDescent="0.25">
      <c r="B149" s="134"/>
      <c r="C149" s="134"/>
      <c r="D149" s="134"/>
      <c r="E149" s="134"/>
      <c r="F149" s="134"/>
      <c r="G149" s="134"/>
      <c r="H149" s="135"/>
      <c r="I149" s="134"/>
      <c r="J149" s="134"/>
      <c r="K149" s="134"/>
      <c r="L149" s="134"/>
      <c r="M149" s="136"/>
      <c r="N149" s="134"/>
      <c r="O149" s="131"/>
      <c r="P149" s="131"/>
      <c r="Q149" s="131"/>
      <c r="R149" s="131"/>
      <c r="S149" s="131"/>
    </row>
    <row r="150" spans="2:19" s="129" customFormat="1" x14ac:dyDescent="0.25">
      <c r="B150" s="134"/>
      <c r="C150" s="134"/>
      <c r="D150" s="134"/>
      <c r="E150" s="134"/>
      <c r="F150" s="134"/>
      <c r="G150" s="134"/>
      <c r="H150" s="135"/>
      <c r="I150" s="134"/>
      <c r="J150" s="134"/>
      <c r="K150" s="134"/>
      <c r="L150" s="134"/>
      <c r="M150" s="136"/>
      <c r="N150" s="134"/>
      <c r="O150" s="131"/>
      <c r="P150" s="131"/>
      <c r="Q150" s="131"/>
      <c r="R150" s="131"/>
      <c r="S150" s="131"/>
    </row>
    <row r="151" spans="2:19" s="129" customFormat="1" x14ac:dyDescent="0.25">
      <c r="B151" s="134"/>
      <c r="C151" s="134"/>
      <c r="D151" s="134"/>
      <c r="E151" s="134"/>
      <c r="F151" s="134"/>
      <c r="G151" s="134"/>
      <c r="H151" s="135"/>
      <c r="I151" s="134"/>
      <c r="J151" s="134"/>
      <c r="K151" s="134"/>
      <c r="L151" s="134"/>
      <c r="M151" s="136"/>
      <c r="N151" s="134"/>
      <c r="O151" s="131"/>
      <c r="P151" s="131"/>
      <c r="Q151" s="131"/>
      <c r="R151" s="131"/>
      <c r="S151" s="131"/>
    </row>
    <row r="152" spans="2:19" s="129" customFormat="1" x14ac:dyDescent="0.25">
      <c r="B152" s="134"/>
      <c r="C152" s="134"/>
      <c r="D152" s="134"/>
      <c r="E152" s="134"/>
      <c r="F152" s="134"/>
      <c r="G152" s="134"/>
      <c r="H152" s="135"/>
      <c r="I152" s="134"/>
      <c r="J152" s="134"/>
      <c r="K152" s="134"/>
      <c r="L152" s="134"/>
      <c r="M152" s="136"/>
      <c r="N152" s="134"/>
      <c r="O152" s="131"/>
      <c r="P152" s="131"/>
      <c r="Q152" s="131"/>
      <c r="R152" s="131"/>
      <c r="S152" s="131"/>
    </row>
    <row r="153" spans="2:19" s="129" customFormat="1" x14ac:dyDescent="0.25">
      <c r="B153" s="134"/>
      <c r="C153" s="134"/>
      <c r="D153" s="134"/>
      <c r="E153" s="134"/>
      <c r="F153" s="134"/>
      <c r="G153" s="134"/>
      <c r="H153" s="135"/>
      <c r="I153" s="134"/>
      <c r="J153" s="134"/>
      <c r="K153" s="134"/>
      <c r="L153" s="134"/>
      <c r="M153" s="136"/>
      <c r="N153" s="134"/>
      <c r="O153" s="131"/>
      <c r="P153" s="131"/>
      <c r="Q153" s="131"/>
      <c r="R153" s="131"/>
      <c r="S153" s="131"/>
    </row>
    <row r="154" spans="2:19" s="129" customFormat="1" x14ac:dyDescent="0.25">
      <c r="B154" s="134"/>
      <c r="C154" s="134"/>
      <c r="D154" s="134"/>
      <c r="E154" s="134"/>
      <c r="F154" s="134"/>
      <c r="G154" s="134"/>
      <c r="H154" s="135"/>
      <c r="I154" s="134"/>
      <c r="J154" s="134"/>
      <c r="K154" s="134"/>
      <c r="L154" s="134"/>
      <c r="M154" s="136"/>
      <c r="N154" s="134"/>
      <c r="O154" s="131"/>
      <c r="P154" s="131"/>
      <c r="Q154" s="131"/>
      <c r="R154" s="131"/>
      <c r="S154" s="131"/>
    </row>
    <row r="155" spans="2:19" s="129" customFormat="1" x14ac:dyDescent="0.25">
      <c r="B155" s="134"/>
      <c r="C155" s="134"/>
      <c r="D155" s="134"/>
      <c r="E155" s="134"/>
      <c r="F155" s="134"/>
      <c r="G155" s="134"/>
      <c r="H155" s="135"/>
      <c r="I155" s="134"/>
      <c r="J155" s="134"/>
      <c r="K155" s="134"/>
      <c r="L155" s="134"/>
      <c r="M155" s="136"/>
      <c r="N155" s="134"/>
      <c r="O155" s="131"/>
      <c r="P155" s="131"/>
      <c r="Q155" s="131"/>
      <c r="R155" s="131"/>
      <c r="S155" s="131"/>
    </row>
    <row r="156" spans="2:19" s="129" customFormat="1" x14ac:dyDescent="0.25">
      <c r="B156" s="134"/>
      <c r="C156" s="134"/>
      <c r="D156" s="134"/>
      <c r="E156" s="134"/>
      <c r="F156" s="134"/>
      <c r="G156" s="134"/>
      <c r="H156" s="135"/>
      <c r="I156" s="134"/>
      <c r="J156" s="134"/>
      <c r="K156" s="134"/>
      <c r="L156" s="134"/>
      <c r="M156" s="136"/>
      <c r="N156" s="134"/>
      <c r="O156" s="131"/>
      <c r="P156" s="131"/>
      <c r="Q156" s="131"/>
      <c r="R156" s="131"/>
      <c r="S156" s="131"/>
    </row>
    <row r="157" spans="2:19" s="129" customFormat="1" x14ac:dyDescent="0.25">
      <c r="B157" s="134"/>
      <c r="C157" s="134"/>
      <c r="D157" s="134"/>
      <c r="E157" s="134"/>
      <c r="F157" s="134"/>
      <c r="G157" s="134"/>
      <c r="H157" s="135"/>
      <c r="I157" s="134"/>
      <c r="J157" s="134"/>
      <c r="K157" s="134"/>
      <c r="L157" s="134"/>
      <c r="M157" s="136"/>
      <c r="N157" s="134"/>
      <c r="O157" s="131"/>
      <c r="P157" s="131"/>
      <c r="Q157" s="131"/>
      <c r="R157" s="131"/>
      <c r="S157" s="131"/>
    </row>
    <row r="158" spans="2:19" s="129" customFormat="1" x14ac:dyDescent="0.25">
      <c r="B158" s="134"/>
      <c r="C158" s="134"/>
      <c r="D158" s="134"/>
      <c r="E158" s="134"/>
      <c r="F158" s="134"/>
      <c r="G158" s="134"/>
      <c r="H158" s="135"/>
      <c r="I158" s="134"/>
      <c r="J158" s="134"/>
      <c r="K158" s="134"/>
      <c r="L158" s="134"/>
      <c r="M158" s="136"/>
      <c r="N158" s="134"/>
      <c r="O158" s="131"/>
      <c r="P158" s="131"/>
      <c r="Q158" s="131"/>
      <c r="R158" s="131"/>
      <c r="S158" s="131"/>
    </row>
    <row r="159" spans="2:19" s="129" customFormat="1" x14ac:dyDescent="0.25">
      <c r="B159" s="134"/>
      <c r="C159" s="134"/>
      <c r="D159" s="134"/>
      <c r="E159" s="134"/>
      <c r="F159" s="134"/>
      <c r="G159" s="134"/>
      <c r="H159" s="135"/>
      <c r="I159" s="134"/>
      <c r="J159" s="134"/>
      <c r="K159" s="134"/>
      <c r="L159" s="134"/>
      <c r="M159" s="136"/>
      <c r="N159" s="134"/>
      <c r="O159" s="131"/>
      <c r="P159" s="131"/>
      <c r="Q159" s="131"/>
      <c r="R159" s="131"/>
      <c r="S159" s="131"/>
    </row>
    <row r="160" spans="2:19" s="129" customFormat="1" x14ac:dyDescent="0.25">
      <c r="B160" s="134"/>
      <c r="C160" s="134"/>
      <c r="D160" s="134"/>
      <c r="E160" s="134"/>
      <c r="F160" s="134"/>
      <c r="G160" s="134"/>
      <c r="H160" s="135"/>
      <c r="I160" s="134"/>
      <c r="J160" s="134"/>
      <c r="K160" s="134"/>
      <c r="L160" s="134"/>
      <c r="M160" s="136"/>
      <c r="N160" s="134"/>
      <c r="O160" s="131"/>
      <c r="P160" s="131"/>
      <c r="Q160" s="131"/>
      <c r="R160" s="131"/>
      <c r="S160" s="131"/>
    </row>
    <row r="161" spans="2:19" s="129" customFormat="1" x14ac:dyDescent="0.25">
      <c r="B161" s="134"/>
      <c r="C161" s="134"/>
      <c r="D161" s="134"/>
      <c r="E161" s="134"/>
      <c r="F161" s="134"/>
      <c r="G161" s="134"/>
      <c r="H161" s="135"/>
      <c r="I161" s="134"/>
      <c r="J161" s="134"/>
      <c r="K161" s="134"/>
      <c r="L161" s="134"/>
      <c r="M161" s="136"/>
      <c r="N161" s="134"/>
      <c r="O161" s="131"/>
      <c r="P161" s="131"/>
      <c r="Q161" s="131"/>
      <c r="R161" s="131"/>
      <c r="S161" s="131"/>
    </row>
    <row r="162" spans="2:19" s="129" customFormat="1" x14ac:dyDescent="0.25">
      <c r="B162" s="134"/>
      <c r="C162" s="134"/>
      <c r="D162" s="134"/>
      <c r="E162" s="134"/>
      <c r="F162" s="134"/>
      <c r="G162" s="134"/>
      <c r="H162" s="135"/>
      <c r="I162" s="134"/>
      <c r="J162" s="134"/>
      <c r="K162" s="134"/>
      <c r="L162" s="134"/>
      <c r="M162" s="136"/>
      <c r="N162" s="134"/>
      <c r="O162" s="131"/>
      <c r="P162" s="131"/>
      <c r="Q162" s="131"/>
      <c r="R162" s="131"/>
      <c r="S162" s="131"/>
    </row>
    <row r="163" spans="2:19" s="129" customFormat="1" x14ac:dyDescent="0.25">
      <c r="B163" s="134"/>
      <c r="C163" s="134"/>
      <c r="D163" s="134"/>
      <c r="E163" s="134"/>
      <c r="F163" s="134"/>
      <c r="G163" s="134"/>
      <c r="H163" s="135"/>
      <c r="I163" s="134"/>
      <c r="J163" s="134"/>
      <c r="K163" s="134"/>
      <c r="L163" s="134"/>
      <c r="M163" s="136"/>
      <c r="N163" s="134"/>
      <c r="O163" s="131"/>
      <c r="P163" s="131"/>
      <c r="Q163" s="131"/>
      <c r="R163" s="131"/>
      <c r="S163" s="131"/>
    </row>
    <row r="164" spans="2:19" s="129" customFormat="1" x14ac:dyDescent="0.25">
      <c r="B164" s="134"/>
      <c r="C164" s="134"/>
      <c r="D164" s="134"/>
      <c r="E164" s="134"/>
      <c r="F164" s="134"/>
      <c r="G164" s="134"/>
      <c r="H164" s="135"/>
      <c r="I164" s="134"/>
      <c r="J164" s="134"/>
      <c r="K164" s="134"/>
      <c r="L164" s="134"/>
      <c r="M164" s="136"/>
      <c r="N164" s="134"/>
      <c r="O164" s="131"/>
      <c r="P164" s="131"/>
      <c r="Q164" s="131"/>
      <c r="R164" s="131"/>
      <c r="S164" s="131"/>
    </row>
  </sheetData>
  <sheetProtection insertColumns="0" insertRows="0" deleteColumns="0" deleteRows="0" selectLockedCells="1" selectUnlockedCells="1"/>
  <mergeCells count="27">
    <mergeCell ref="O2:R4"/>
    <mergeCell ref="P60:S60"/>
    <mergeCell ref="P59:S59"/>
    <mergeCell ref="O48:S48"/>
    <mergeCell ref="O49:S49"/>
    <mergeCell ref="O35:S35"/>
    <mergeCell ref="O16:S16"/>
    <mergeCell ref="P17:Q17"/>
    <mergeCell ref="P9:Q9"/>
    <mergeCell ref="Q36:S36"/>
    <mergeCell ref="O36:P36"/>
    <mergeCell ref="P10:Q10"/>
    <mergeCell ref="P11:Q11"/>
    <mergeCell ref="P12:Q12"/>
    <mergeCell ref="P13:Q13"/>
    <mergeCell ref="P14:Q14"/>
    <mergeCell ref="P15:Q15"/>
    <mergeCell ref="O64:S64"/>
    <mergeCell ref="O65:S65"/>
    <mergeCell ref="O66:S66"/>
    <mergeCell ref="P62:S62"/>
    <mergeCell ref="O50:S50"/>
    <mergeCell ref="O57:S57"/>
    <mergeCell ref="P51:Q51"/>
    <mergeCell ref="P52:Q52"/>
    <mergeCell ref="P56:Q56"/>
    <mergeCell ref="P58:Q58"/>
  </mergeCells>
  <phoneticPr fontId="12" type="noConversion"/>
  <pageMargins left="0.7" right="0.7" top="0.75" bottom="0.75" header="0.3" footer="0.3"/>
  <pageSetup scale="60" fitToHeight="0" orientation="portrait" r:id="rId1"/>
  <rowBreaks count="1" manualBreakCount="1">
    <brk id="47" min="14" max="18" man="1"/>
  </rowBreaks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1E892B4-1CDE-43F4-AC99-13F0008747DD}">
          <x14:formula1>
            <xm:f>'Lista Servicio'!$A$2:$A$10</xm:f>
          </x14:formula1>
          <xm:sqref>R7</xm:sqref>
        </x14:dataValidation>
        <x14:dataValidation type="list" allowBlank="1" showInputMessage="1" showErrorMessage="1" xr:uid="{DC7CBED5-39E3-44C4-8D28-3D508CF64D30}">
          <x14:formula1>
            <xm:f>'Lista Servicio'!$G$2:$G$7</xm:f>
          </x14:formula1>
          <xm:sqref>P62:S62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BE258-0FB2-4CCD-80A0-855A3168117C}">
  <dimension ref="A1:B402"/>
  <sheetViews>
    <sheetView showGridLines="0" topLeftCell="A355" workbookViewId="0">
      <selection activeCell="B368" sqref="B368:B371"/>
    </sheetView>
  </sheetViews>
  <sheetFormatPr baseColWidth="10" defaultColWidth="10.7109375" defaultRowHeight="12.75" x14ac:dyDescent="0.2"/>
  <cols>
    <col min="1" max="1" width="11.7109375" style="254" bestFit="1" customWidth="1"/>
    <col min="2" max="2" width="66.28515625" style="254" bestFit="1" customWidth="1"/>
    <col min="3" max="16384" width="10.7109375" style="254"/>
  </cols>
  <sheetData>
    <row r="1" spans="1:2" x14ac:dyDescent="0.2">
      <c r="A1" s="253" t="s">
        <v>7</v>
      </c>
      <c r="B1" s="253" t="s">
        <v>574</v>
      </c>
    </row>
    <row r="2" spans="1:2" x14ac:dyDescent="0.2">
      <c r="A2" s="254" t="s">
        <v>1983</v>
      </c>
      <c r="B2" s="254" t="s">
        <v>2003</v>
      </c>
    </row>
    <row r="3" spans="1:2" x14ac:dyDescent="0.2">
      <c r="A3" s="254" t="s">
        <v>1015</v>
      </c>
      <c r="B3" s="254" t="s">
        <v>1707</v>
      </c>
    </row>
    <row r="4" spans="1:2" x14ac:dyDescent="0.2">
      <c r="A4" s="254" t="s">
        <v>1708</v>
      </c>
      <c r="B4" s="254" t="s">
        <v>1016</v>
      </c>
    </row>
    <row r="5" spans="1:2" x14ac:dyDescent="0.2">
      <c r="A5" s="254" t="s">
        <v>1984</v>
      </c>
      <c r="B5" s="254" t="s">
        <v>1712</v>
      </c>
    </row>
    <row r="6" spans="1:2" x14ac:dyDescent="0.2">
      <c r="A6" s="254" t="s">
        <v>1017</v>
      </c>
      <c r="B6" s="254" t="s">
        <v>1985</v>
      </c>
    </row>
    <row r="7" spans="1:2" x14ac:dyDescent="0.2">
      <c r="A7" s="254" t="s">
        <v>1987</v>
      </c>
      <c r="B7" s="254" t="s">
        <v>1711</v>
      </c>
    </row>
    <row r="8" spans="1:2" x14ac:dyDescent="0.2">
      <c r="A8" s="254" t="s">
        <v>1706</v>
      </c>
      <c r="B8" s="254" t="s">
        <v>1713</v>
      </c>
    </row>
    <row r="9" spans="1:2" x14ac:dyDescent="0.2">
      <c r="A9" s="254" t="s">
        <v>1986</v>
      </c>
      <c r="B9" s="254" t="s">
        <v>1714</v>
      </c>
    </row>
    <row r="10" spans="1:2" x14ac:dyDescent="0.2">
      <c r="A10" s="254" t="s">
        <v>1018</v>
      </c>
      <c r="B10" s="254" t="s">
        <v>1991</v>
      </c>
    </row>
    <row r="11" spans="1:2" x14ac:dyDescent="0.2">
      <c r="A11" s="254" t="s">
        <v>1993</v>
      </c>
      <c r="B11" s="254" t="s">
        <v>1992</v>
      </c>
    </row>
    <row r="12" spans="1:2" x14ac:dyDescent="0.2">
      <c r="A12" s="254" t="s">
        <v>1990</v>
      </c>
      <c r="B12" s="254" t="s">
        <v>1989</v>
      </c>
    </row>
    <row r="13" spans="1:2" x14ac:dyDescent="0.2">
      <c r="A13" s="254" t="s">
        <v>1988</v>
      </c>
      <c r="B13" s="254" t="s">
        <v>1709</v>
      </c>
    </row>
    <row r="14" spans="1:2" x14ac:dyDescent="0.2">
      <c r="A14" s="254" t="s">
        <v>2000</v>
      </c>
      <c r="B14" s="254" t="s">
        <v>1999</v>
      </c>
    </row>
    <row r="15" spans="1:2" x14ac:dyDescent="0.2">
      <c r="A15" s="254" t="s">
        <v>1019</v>
      </c>
      <c r="B15" s="254" t="s">
        <v>2001</v>
      </c>
    </row>
    <row r="16" spans="1:2" x14ac:dyDescent="0.2">
      <c r="A16" s="254" t="s">
        <v>1710</v>
      </c>
      <c r="B16" s="254" t="s">
        <v>1998</v>
      </c>
    </row>
    <row r="17" spans="1:2" x14ac:dyDescent="0.2">
      <c r="A17" s="254" t="s">
        <v>2370</v>
      </c>
      <c r="B17" s="254" t="s">
        <v>2377</v>
      </c>
    </row>
    <row r="18" spans="1:2" x14ac:dyDescent="0.2">
      <c r="A18" s="254" t="s">
        <v>2036</v>
      </c>
      <c r="B18" s="254" t="s">
        <v>2162</v>
      </c>
    </row>
    <row r="19" spans="1:2" x14ac:dyDescent="0.2">
      <c r="A19" s="254" t="s">
        <v>2037</v>
      </c>
      <c r="B19" s="254" t="s">
        <v>2163</v>
      </c>
    </row>
    <row r="20" spans="1:2" x14ac:dyDescent="0.2">
      <c r="A20" s="254" t="s">
        <v>2038</v>
      </c>
      <c r="B20" s="254" t="s">
        <v>2164</v>
      </c>
    </row>
    <row r="21" spans="1:2" x14ac:dyDescent="0.2">
      <c r="A21" s="254" t="s">
        <v>2039</v>
      </c>
      <c r="B21" s="254" t="s">
        <v>2165</v>
      </c>
    </row>
    <row r="22" spans="1:2" x14ac:dyDescent="0.2">
      <c r="A22" s="254" t="s">
        <v>2040</v>
      </c>
      <c r="B22" s="254" t="s">
        <v>2166</v>
      </c>
    </row>
    <row r="23" spans="1:2" x14ac:dyDescent="0.2">
      <c r="A23" s="254" t="s">
        <v>2041</v>
      </c>
      <c r="B23" s="254" t="s">
        <v>2167</v>
      </c>
    </row>
    <row r="24" spans="1:2" x14ac:dyDescent="0.2">
      <c r="A24" s="254" t="s">
        <v>2042</v>
      </c>
      <c r="B24" s="254" t="s">
        <v>2168</v>
      </c>
    </row>
    <row r="25" spans="1:2" x14ac:dyDescent="0.2">
      <c r="A25" s="254" t="s">
        <v>2043</v>
      </c>
      <c r="B25" s="254" t="s">
        <v>2378</v>
      </c>
    </row>
    <row r="26" spans="1:2" x14ac:dyDescent="0.2">
      <c r="A26" s="254" t="s">
        <v>2044</v>
      </c>
      <c r="B26" s="254" t="s">
        <v>2169</v>
      </c>
    </row>
    <row r="27" spans="1:2" x14ac:dyDescent="0.2">
      <c r="A27" s="254" t="s">
        <v>2045</v>
      </c>
      <c r="B27" s="254" t="s">
        <v>2170</v>
      </c>
    </row>
    <row r="28" spans="1:2" x14ac:dyDescent="0.2">
      <c r="A28" s="254" t="s">
        <v>2046</v>
      </c>
      <c r="B28" s="254" t="s">
        <v>2171</v>
      </c>
    </row>
    <row r="29" spans="1:2" x14ac:dyDescent="0.2">
      <c r="A29" s="254" t="s">
        <v>2047</v>
      </c>
      <c r="B29" s="254" t="s">
        <v>2172</v>
      </c>
    </row>
    <row r="30" spans="1:2" x14ac:dyDescent="0.2">
      <c r="A30" s="254" t="s">
        <v>2048</v>
      </c>
      <c r="B30" s="254" t="s">
        <v>2173</v>
      </c>
    </row>
    <row r="31" spans="1:2" x14ac:dyDescent="0.2">
      <c r="A31" s="254" t="s">
        <v>2049</v>
      </c>
      <c r="B31" s="254" t="s">
        <v>2174</v>
      </c>
    </row>
    <row r="32" spans="1:2" x14ac:dyDescent="0.2">
      <c r="A32" s="254" t="s">
        <v>2050</v>
      </c>
      <c r="B32" s="254" t="s">
        <v>2175</v>
      </c>
    </row>
    <row r="33" spans="1:2" x14ac:dyDescent="0.2">
      <c r="A33" s="254" t="s">
        <v>2051</v>
      </c>
      <c r="B33" s="254" t="s">
        <v>2176</v>
      </c>
    </row>
    <row r="34" spans="1:2" x14ac:dyDescent="0.2">
      <c r="A34" s="254" t="s">
        <v>2052</v>
      </c>
      <c r="B34" s="254" t="s">
        <v>2177</v>
      </c>
    </row>
    <row r="35" spans="1:2" x14ac:dyDescent="0.2">
      <c r="A35" s="254" t="s">
        <v>2053</v>
      </c>
      <c r="B35" s="254" t="s">
        <v>2178</v>
      </c>
    </row>
    <row r="36" spans="1:2" x14ac:dyDescent="0.2">
      <c r="A36" s="254" t="s">
        <v>2054</v>
      </c>
      <c r="B36" s="254" t="s">
        <v>2179</v>
      </c>
    </row>
    <row r="37" spans="1:2" x14ac:dyDescent="0.2">
      <c r="A37" s="254" t="s">
        <v>2055</v>
      </c>
      <c r="B37" s="254" t="s">
        <v>2180</v>
      </c>
    </row>
    <row r="38" spans="1:2" x14ac:dyDescent="0.2">
      <c r="A38" s="254" t="s">
        <v>2056</v>
      </c>
      <c r="B38" s="254" t="s">
        <v>2181</v>
      </c>
    </row>
    <row r="39" spans="1:2" x14ac:dyDescent="0.2">
      <c r="A39" s="254" t="s">
        <v>2057</v>
      </c>
      <c r="B39" s="254" t="s">
        <v>2182</v>
      </c>
    </row>
    <row r="40" spans="1:2" x14ac:dyDescent="0.2">
      <c r="A40" s="254" t="s">
        <v>2058</v>
      </c>
      <c r="B40" s="254" t="s">
        <v>2183</v>
      </c>
    </row>
    <row r="41" spans="1:2" x14ac:dyDescent="0.2">
      <c r="A41" s="254" t="s">
        <v>2059</v>
      </c>
      <c r="B41" s="254" t="s">
        <v>2184</v>
      </c>
    </row>
    <row r="42" spans="1:2" x14ac:dyDescent="0.2">
      <c r="A42" s="254" t="s">
        <v>2060</v>
      </c>
      <c r="B42" s="254" t="s">
        <v>2185</v>
      </c>
    </row>
    <row r="43" spans="1:2" x14ac:dyDescent="0.2">
      <c r="A43" s="254" t="s">
        <v>2061</v>
      </c>
      <c r="B43" s="254" t="s">
        <v>2186</v>
      </c>
    </row>
    <row r="44" spans="1:2" x14ac:dyDescent="0.2">
      <c r="A44" s="254" t="s">
        <v>2062</v>
      </c>
      <c r="B44" s="254" t="s">
        <v>2187</v>
      </c>
    </row>
    <row r="45" spans="1:2" x14ac:dyDescent="0.2">
      <c r="A45" s="254" t="s">
        <v>2063</v>
      </c>
      <c r="B45" s="254" t="s">
        <v>2188</v>
      </c>
    </row>
    <row r="46" spans="1:2" x14ac:dyDescent="0.2">
      <c r="A46" s="254" t="s">
        <v>2064</v>
      </c>
      <c r="B46" s="254" t="s">
        <v>2189</v>
      </c>
    </row>
    <row r="47" spans="1:2" x14ac:dyDescent="0.2">
      <c r="A47" s="254" t="s">
        <v>2371</v>
      </c>
      <c r="B47" s="254" t="s">
        <v>2379</v>
      </c>
    </row>
    <row r="48" spans="1:2" x14ac:dyDescent="0.2">
      <c r="A48" s="254" t="s">
        <v>2065</v>
      </c>
      <c r="B48" s="254" t="s">
        <v>2190</v>
      </c>
    </row>
    <row r="49" spans="1:2" x14ac:dyDescent="0.2">
      <c r="A49" s="254" t="s">
        <v>2066</v>
      </c>
      <c r="B49" s="254" t="s">
        <v>2191</v>
      </c>
    </row>
    <row r="50" spans="1:2" x14ac:dyDescent="0.2">
      <c r="A50" s="254" t="s">
        <v>2067</v>
      </c>
      <c r="B50" s="254" t="s">
        <v>2192</v>
      </c>
    </row>
    <row r="51" spans="1:2" x14ac:dyDescent="0.2">
      <c r="A51" s="254" t="s">
        <v>2068</v>
      </c>
      <c r="B51" s="254" t="s">
        <v>2193</v>
      </c>
    </row>
    <row r="52" spans="1:2" x14ac:dyDescent="0.2">
      <c r="A52" s="254" t="s">
        <v>2069</v>
      </c>
      <c r="B52" s="254" t="s">
        <v>2194</v>
      </c>
    </row>
    <row r="53" spans="1:2" x14ac:dyDescent="0.2">
      <c r="A53" s="254" t="s">
        <v>2070</v>
      </c>
      <c r="B53" s="254" t="s">
        <v>2195</v>
      </c>
    </row>
    <row r="54" spans="1:2" x14ac:dyDescent="0.2">
      <c r="A54" s="254" t="s">
        <v>2071</v>
      </c>
      <c r="B54" s="254" t="s">
        <v>2196</v>
      </c>
    </row>
    <row r="55" spans="1:2" x14ac:dyDescent="0.2">
      <c r="A55" s="254" t="s">
        <v>2072</v>
      </c>
      <c r="B55" s="254" t="s">
        <v>2197</v>
      </c>
    </row>
    <row r="56" spans="1:2" x14ac:dyDescent="0.2">
      <c r="A56" s="254" t="s">
        <v>2073</v>
      </c>
      <c r="B56" s="254" t="s">
        <v>2198</v>
      </c>
    </row>
    <row r="57" spans="1:2" x14ac:dyDescent="0.2">
      <c r="A57" s="254" t="s">
        <v>944</v>
      </c>
      <c r="B57" s="254" t="s">
        <v>945</v>
      </c>
    </row>
    <row r="58" spans="1:2" x14ac:dyDescent="0.2">
      <c r="A58" s="254" t="s">
        <v>639</v>
      </c>
      <c r="B58" s="254" t="s">
        <v>640</v>
      </c>
    </row>
    <row r="59" spans="1:2" x14ac:dyDescent="0.2">
      <c r="A59" s="254" t="s">
        <v>679</v>
      </c>
      <c r="B59" s="254" t="s">
        <v>680</v>
      </c>
    </row>
    <row r="60" spans="1:2" x14ac:dyDescent="0.2">
      <c r="A60" s="254" t="s">
        <v>600</v>
      </c>
      <c r="B60" s="254" t="s">
        <v>2199</v>
      </c>
    </row>
    <row r="61" spans="1:2" x14ac:dyDescent="0.2">
      <c r="A61" s="254" t="s">
        <v>653</v>
      </c>
      <c r="B61" s="254" t="s">
        <v>654</v>
      </c>
    </row>
    <row r="62" spans="1:2" x14ac:dyDescent="0.2">
      <c r="A62" s="254" t="s">
        <v>601</v>
      </c>
      <c r="B62" s="254" t="s">
        <v>602</v>
      </c>
    </row>
    <row r="63" spans="1:2" x14ac:dyDescent="0.2">
      <c r="A63" s="254" t="s">
        <v>946</v>
      </c>
      <c r="B63" s="254" t="s">
        <v>947</v>
      </c>
    </row>
    <row r="64" spans="1:2" x14ac:dyDescent="0.2">
      <c r="A64" s="254" t="s">
        <v>948</v>
      </c>
      <c r="B64" s="254" t="s">
        <v>949</v>
      </c>
    </row>
    <row r="65" spans="1:2" x14ac:dyDescent="0.2">
      <c r="A65" s="254" t="s">
        <v>950</v>
      </c>
      <c r="B65" s="254" t="s">
        <v>951</v>
      </c>
    </row>
    <row r="66" spans="1:2" x14ac:dyDescent="0.2">
      <c r="A66" s="254" t="s">
        <v>615</v>
      </c>
      <c r="B66" s="254" t="s">
        <v>2200</v>
      </c>
    </row>
    <row r="67" spans="1:2" x14ac:dyDescent="0.2">
      <c r="A67" s="254" t="s">
        <v>647</v>
      </c>
      <c r="B67" s="254" t="s">
        <v>648</v>
      </c>
    </row>
    <row r="68" spans="1:2" x14ac:dyDescent="0.2">
      <c r="A68" s="254" t="s">
        <v>681</v>
      </c>
      <c r="B68" s="254" t="s">
        <v>682</v>
      </c>
    </row>
    <row r="69" spans="1:2" x14ac:dyDescent="0.2">
      <c r="A69" s="254" t="s">
        <v>683</v>
      </c>
      <c r="B69" s="254" t="s">
        <v>684</v>
      </c>
    </row>
    <row r="70" spans="1:2" x14ac:dyDescent="0.2">
      <c r="A70" s="254" t="s">
        <v>685</v>
      </c>
      <c r="B70" s="254" t="s">
        <v>686</v>
      </c>
    </row>
    <row r="71" spans="1:2" x14ac:dyDescent="0.2">
      <c r="A71" s="254" t="s">
        <v>658</v>
      </c>
      <c r="B71" s="254" t="s">
        <v>952</v>
      </c>
    </row>
    <row r="72" spans="1:2" x14ac:dyDescent="0.2">
      <c r="A72" s="254" t="s">
        <v>953</v>
      </c>
      <c r="B72" s="254" t="s">
        <v>954</v>
      </c>
    </row>
    <row r="73" spans="1:2" x14ac:dyDescent="0.2">
      <c r="A73" s="254" t="s">
        <v>955</v>
      </c>
      <c r="B73" s="254" t="s">
        <v>2201</v>
      </c>
    </row>
    <row r="74" spans="1:2" x14ac:dyDescent="0.2">
      <c r="A74" s="254" t="s">
        <v>687</v>
      </c>
      <c r="B74" s="254" t="s">
        <v>2202</v>
      </c>
    </row>
    <row r="75" spans="1:2" x14ac:dyDescent="0.2">
      <c r="A75" s="254" t="s">
        <v>688</v>
      </c>
      <c r="B75" s="254" t="s">
        <v>2203</v>
      </c>
    </row>
    <row r="76" spans="1:2" x14ac:dyDescent="0.2">
      <c r="A76" s="254" t="s">
        <v>689</v>
      </c>
      <c r="B76" s="254" t="s">
        <v>2204</v>
      </c>
    </row>
    <row r="77" spans="1:2" x14ac:dyDescent="0.2">
      <c r="A77" s="254" t="s">
        <v>690</v>
      </c>
      <c r="B77" s="254" t="s">
        <v>2205</v>
      </c>
    </row>
    <row r="78" spans="1:2" x14ac:dyDescent="0.2">
      <c r="A78" s="254" t="s">
        <v>691</v>
      </c>
      <c r="B78" s="254" t="s">
        <v>692</v>
      </c>
    </row>
    <row r="79" spans="1:2" x14ac:dyDescent="0.2">
      <c r="A79" s="254" t="s">
        <v>693</v>
      </c>
      <c r="B79" s="254" t="s">
        <v>2206</v>
      </c>
    </row>
    <row r="80" spans="1:2" x14ac:dyDescent="0.2">
      <c r="A80" s="254" t="s">
        <v>694</v>
      </c>
      <c r="B80" s="254" t="s">
        <v>2207</v>
      </c>
    </row>
    <row r="81" spans="1:2" x14ac:dyDescent="0.2">
      <c r="A81" s="254" t="s">
        <v>695</v>
      </c>
      <c r="B81" s="254" t="s">
        <v>696</v>
      </c>
    </row>
    <row r="82" spans="1:2" x14ac:dyDescent="0.2">
      <c r="A82" s="254" t="s">
        <v>697</v>
      </c>
      <c r="B82" s="254" t="s">
        <v>2208</v>
      </c>
    </row>
    <row r="83" spans="1:2" x14ac:dyDescent="0.2">
      <c r="A83" s="254" t="s">
        <v>698</v>
      </c>
      <c r="B83" s="254" t="s">
        <v>699</v>
      </c>
    </row>
    <row r="84" spans="1:2" x14ac:dyDescent="0.2">
      <c r="A84" s="254" t="s">
        <v>700</v>
      </c>
      <c r="B84" s="254" t="s">
        <v>701</v>
      </c>
    </row>
    <row r="85" spans="1:2" x14ac:dyDescent="0.2">
      <c r="A85" s="254" t="s">
        <v>702</v>
      </c>
      <c r="B85" s="254" t="s">
        <v>956</v>
      </c>
    </row>
    <row r="86" spans="1:2" x14ac:dyDescent="0.2">
      <c r="A86" s="254" t="s">
        <v>662</v>
      </c>
      <c r="B86" s="254" t="s">
        <v>2209</v>
      </c>
    </row>
    <row r="87" spans="1:2" x14ac:dyDescent="0.2">
      <c r="A87" s="254" t="s">
        <v>663</v>
      </c>
      <c r="B87" s="254" t="s">
        <v>2210</v>
      </c>
    </row>
    <row r="88" spans="1:2" x14ac:dyDescent="0.2">
      <c r="A88" s="254" t="s">
        <v>703</v>
      </c>
      <c r="B88" s="254" t="s">
        <v>2211</v>
      </c>
    </row>
    <row r="89" spans="1:2" x14ac:dyDescent="0.2">
      <c r="A89" s="254" t="s">
        <v>667</v>
      </c>
      <c r="B89" s="254" t="s">
        <v>2212</v>
      </c>
    </row>
    <row r="90" spans="1:2" x14ac:dyDescent="0.2">
      <c r="A90" s="254" t="s">
        <v>957</v>
      </c>
      <c r="B90" s="254" t="s">
        <v>2213</v>
      </c>
    </row>
    <row r="91" spans="1:2" x14ac:dyDescent="0.2">
      <c r="A91" s="254" t="s">
        <v>704</v>
      </c>
      <c r="B91" s="254" t="s">
        <v>2214</v>
      </c>
    </row>
    <row r="92" spans="1:2" x14ac:dyDescent="0.2">
      <c r="A92" s="254" t="s">
        <v>664</v>
      </c>
      <c r="B92" s="254" t="s">
        <v>2215</v>
      </c>
    </row>
    <row r="93" spans="1:2" x14ac:dyDescent="0.2">
      <c r="A93" s="254" t="s">
        <v>705</v>
      </c>
      <c r="B93" s="254" t="s">
        <v>706</v>
      </c>
    </row>
    <row r="94" spans="1:2" x14ac:dyDescent="0.2">
      <c r="A94" s="254" t="s">
        <v>707</v>
      </c>
      <c r="B94" s="254" t="s">
        <v>708</v>
      </c>
    </row>
    <row r="95" spans="1:2" x14ac:dyDescent="0.2">
      <c r="A95" s="254" t="s">
        <v>709</v>
      </c>
      <c r="B95" s="254" t="s">
        <v>710</v>
      </c>
    </row>
    <row r="96" spans="1:2" x14ac:dyDescent="0.2">
      <c r="A96" s="254" t="s">
        <v>711</v>
      </c>
      <c r="B96" s="254" t="s">
        <v>712</v>
      </c>
    </row>
    <row r="97" spans="1:2" x14ac:dyDescent="0.2">
      <c r="A97" s="254" t="s">
        <v>713</v>
      </c>
      <c r="B97" s="254" t="s">
        <v>714</v>
      </c>
    </row>
    <row r="98" spans="1:2" x14ac:dyDescent="0.2">
      <c r="A98" s="254" t="s">
        <v>715</v>
      </c>
      <c r="B98" s="254" t="s">
        <v>716</v>
      </c>
    </row>
    <row r="99" spans="1:2" x14ac:dyDescent="0.2">
      <c r="A99" s="254" t="s">
        <v>717</v>
      </c>
      <c r="B99" s="254" t="s">
        <v>718</v>
      </c>
    </row>
    <row r="100" spans="1:2" x14ac:dyDescent="0.2">
      <c r="A100" s="254" t="s">
        <v>719</v>
      </c>
      <c r="B100" s="254" t="s">
        <v>720</v>
      </c>
    </row>
    <row r="101" spans="1:2" x14ac:dyDescent="0.2">
      <c r="A101" s="254" t="s">
        <v>721</v>
      </c>
      <c r="B101" s="254" t="s">
        <v>722</v>
      </c>
    </row>
    <row r="102" spans="1:2" x14ac:dyDescent="0.2">
      <c r="A102" s="254" t="s">
        <v>723</v>
      </c>
      <c r="B102" s="254" t="s">
        <v>724</v>
      </c>
    </row>
    <row r="103" spans="1:2" x14ac:dyDescent="0.2">
      <c r="A103" s="254" t="s">
        <v>725</v>
      </c>
      <c r="B103" s="254" t="s">
        <v>726</v>
      </c>
    </row>
    <row r="104" spans="1:2" x14ac:dyDescent="0.2">
      <c r="A104" s="254" t="s">
        <v>2074</v>
      </c>
      <c r="B104" s="254" t="s">
        <v>2216</v>
      </c>
    </row>
    <row r="105" spans="1:2" x14ac:dyDescent="0.2">
      <c r="A105" s="254" t="s">
        <v>618</v>
      </c>
      <c r="B105" s="254" t="s">
        <v>619</v>
      </c>
    </row>
    <row r="106" spans="1:2" x14ac:dyDescent="0.2">
      <c r="A106" s="254" t="s">
        <v>651</v>
      </c>
      <c r="B106" s="254" t="s">
        <v>652</v>
      </c>
    </row>
    <row r="107" spans="1:2" x14ac:dyDescent="0.2">
      <c r="A107" s="254" t="s">
        <v>2075</v>
      </c>
      <c r="B107" s="254" t="s">
        <v>2217</v>
      </c>
    </row>
    <row r="108" spans="1:2" x14ac:dyDescent="0.2">
      <c r="A108" s="254" t="s">
        <v>727</v>
      </c>
      <c r="B108" s="254" t="s">
        <v>728</v>
      </c>
    </row>
    <row r="109" spans="1:2" x14ac:dyDescent="0.2">
      <c r="A109" s="254" t="s">
        <v>729</v>
      </c>
      <c r="B109" s="254" t="s">
        <v>730</v>
      </c>
    </row>
    <row r="110" spans="1:2" x14ac:dyDescent="0.2">
      <c r="A110" s="254" t="s">
        <v>677</v>
      </c>
      <c r="B110" s="254" t="s">
        <v>678</v>
      </c>
    </row>
    <row r="111" spans="1:2" x14ac:dyDescent="0.2">
      <c r="A111" s="254" t="s">
        <v>731</v>
      </c>
      <c r="B111" s="254" t="s">
        <v>732</v>
      </c>
    </row>
    <row r="112" spans="1:2" x14ac:dyDescent="0.2">
      <c r="A112" s="254" t="s">
        <v>2076</v>
      </c>
      <c r="B112" s="254" t="s">
        <v>2218</v>
      </c>
    </row>
    <row r="113" spans="1:2" x14ac:dyDescent="0.2">
      <c r="A113" s="254" t="s">
        <v>624</v>
      </c>
      <c r="B113" s="254" t="s">
        <v>625</v>
      </c>
    </row>
    <row r="114" spans="1:2" x14ac:dyDescent="0.2">
      <c r="A114" s="254" t="s">
        <v>638</v>
      </c>
      <c r="B114" s="254" t="s">
        <v>2219</v>
      </c>
    </row>
    <row r="115" spans="1:2" x14ac:dyDescent="0.2">
      <c r="A115" s="254" t="s">
        <v>2077</v>
      </c>
      <c r="B115" s="254" t="s">
        <v>2220</v>
      </c>
    </row>
    <row r="116" spans="1:2" x14ac:dyDescent="0.2">
      <c r="A116" s="254" t="s">
        <v>733</v>
      </c>
      <c r="B116" s="254" t="s">
        <v>2221</v>
      </c>
    </row>
    <row r="117" spans="1:2" x14ac:dyDescent="0.2">
      <c r="A117" s="254" t="s">
        <v>734</v>
      </c>
      <c r="B117" s="254" t="s">
        <v>735</v>
      </c>
    </row>
    <row r="118" spans="1:2" x14ac:dyDescent="0.2">
      <c r="A118" s="254" t="s">
        <v>736</v>
      </c>
      <c r="B118" s="254" t="s">
        <v>737</v>
      </c>
    </row>
    <row r="119" spans="1:2" x14ac:dyDescent="0.2">
      <c r="A119" s="254" t="s">
        <v>2078</v>
      </c>
      <c r="B119" s="254" t="s">
        <v>2222</v>
      </c>
    </row>
    <row r="120" spans="1:2" x14ac:dyDescent="0.2">
      <c r="A120" s="254" t="s">
        <v>2079</v>
      </c>
      <c r="B120" s="254" t="s">
        <v>2223</v>
      </c>
    </row>
    <row r="121" spans="1:2" x14ac:dyDescent="0.2">
      <c r="A121" s="254" t="s">
        <v>738</v>
      </c>
      <c r="B121" s="254" t="s">
        <v>2224</v>
      </c>
    </row>
    <row r="122" spans="1:2" x14ac:dyDescent="0.2">
      <c r="A122" s="254" t="s">
        <v>739</v>
      </c>
      <c r="B122" s="254" t="s">
        <v>2225</v>
      </c>
    </row>
    <row r="123" spans="1:2" x14ac:dyDescent="0.2">
      <c r="A123" s="254" t="s">
        <v>740</v>
      </c>
      <c r="B123" s="254" t="s">
        <v>2226</v>
      </c>
    </row>
    <row r="124" spans="1:2" x14ac:dyDescent="0.2">
      <c r="A124" s="254" t="s">
        <v>604</v>
      </c>
      <c r="B124" s="254" t="s">
        <v>2227</v>
      </c>
    </row>
    <row r="125" spans="1:2" x14ac:dyDescent="0.2">
      <c r="A125" s="254" t="s">
        <v>655</v>
      </c>
      <c r="B125" s="254" t="s">
        <v>2228</v>
      </c>
    </row>
    <row r="126" spans="1:2" x14ac:dyDescent="0.2">
      <c r="A126" s="254" t="s">
        <v>634</v>
      </c>
      <c r="B126" s="254" t="s">
        <v>2229</v>
      </c>
    </row>
    <row r="127" spans="1:2" x14ac:dyDescent="0.2">
      <c r="A127" s="254" t="s">
        <v>635</v>
      </c>
      <c r="B127" s="254" t="s">
        <v>2230</v>
      </c>
    </row>
    <row r="128" spans="1:2" x14ac:dyDescent="0.2">
      <c r="A128" s="254" t="s">
        <v>628</v>
      </c>
      <c r="B128" s="254" t="s">
        <v>2231</v>
      </c>
    </row>
    <row r="129" spans="1:2" x14ac:dyDescent="0.2">
      <c r="A129" s="254" t="s">
        <v>741</v>
      </c>
      <c r="B129" s="254" t="s">
        <v>2232</v>
      </c>
    </row>
    <row r="130" spans="1:2" x14ac:dyDescent="0.2">
      <c r="A130" s="254" t="s">
        <v>673</v>
      </c>
      <c r="B130" s="254" t="s">
        <v>674</v>
      </c>
    </row>
    <row r="131" spans="1:2" x14ac:dyDescent="0.2">
      <c r="A131" s="254" t="s">
        <v>672</v>
      </c>
      <c r="B131" s="254" t="s">
        <v>2233</v>
      </c>
    </row>
    <row r="132" spans="1:2" x14ac:dyDescent="0.2">
      <c r="A132" s="254" t="s">
        <v>742</v>
      </c>
      <c r="B132" s="254" t="s">
        <v>2234</v>
      </c>
    </row>
    <row r="133" spans="1:2" x14ac:dyDescent="0.2">
      <c r="A133" s="254" t="s">
        <v>743</v>
      </c>
      <c r="B133" s="254" t="s">
        <v>2235</v>
      </c>
    </row>
    <row r="134" spans="1:2" x14ac:dyDescent="0.2">
      <c r="A134" s="254" t="s">
        <v>958</v>
      </c>
      <c r="B134" s="254" t="s">
        <v>2236</v>
      </c>
    </row>
    <row r="135" spans="1:2" x14ac:dyDescent="0.2">
      <c r="A135" s="254" t="s">
        <v>744</v>
      </c>
      <c r="B135" s="254" t="s">
        <v>2237</v>
      </c>
    </row>
    <row r="136" spans="1:2" x14ac:dyDescent="0.2">
      <c r="A136" s="254" t="s">
        <v>577</v>
      </c>
      <c r="B136" s="254" t="s">
        <v>2238</v>
      </c>
    </row>
    <row r="137" spans="1:2" x14ac:dyDescent="0.2">
      <c r="A137" s="254" t="s">
        <v>670</v>
      </c>
      <c r="B137" s="254" t="s">
        <v>671</v>
      </c>
    </row>
    <row r="138" spans="1:2" x14ac:dyDescent="0.2">
      <c r="A138" s="254" t="s">
        <v>746</v>
      </c>
      <c r="B138" s="254" t="s">
        <v>2239</v>
      </c>
    </row>
    <row r="139" spans="1:2" x14ac:dyDescent="0.2">
      <c r="A139" s="254" t="s">
        <v>747</v>
      </c>
      <c r="B139" s="254" t="s">
        <v>2240</v>
      </c>
    </row>
    <row r="140" spans="1:2" x14ac:dyDescent="0.2">
      <c r="A140" s="254" t="s">
        <v>587</v>
      </c>
      <c r="B140" s="254" t="s">
        <v>2241</v>
      </c>
    </row>
    <row r="141" spans="1:2" x14ac:dyDescent="0.2">
      <c r="A141" s="254" t="s">
        <v>748</v>
      </c>
      <c r="B141" s="254" t="s">
        <v>2242</v>
      </c>
    </row>
    <row r="142" spans="1:2" x14ac:dyDescent="0.2">
      <c r="A142" s="254" t="s">
        <v>749</v>
      </c>
      <c r="B142" s="254" t="s">
        <v>750</v>
      </c>
    </row>
    <row r="143" spans="1:2" x14ac:dyDescent="0.2">
      <c r="A143" s="254" t="s">
        <v>751</v>
      </c>
      <c r="B143" s="254" t="s">
        <v>752</v>
      </c>
    </row>
    <row r="144" spans="1:2" x14ac:dyDescent="0.2">
      <c r="A144" s="254" t="s">
        <v>753</v>
      </c>
      <c r="B144" s="254" t="s">
        <v>754</v>
      </c>
    </row>
    <row r="145" spans="1:2" x14ac:dyDescent="0.2">
      <c r="A145" s="254" t="s">
        <v>755</v>
      </c>
      <c r="B145" s="254" t="s">
        <v>756</v>
      </c>
    </row>
    <row r="146" spans="1:2" x14ac:dyDescent="0.2">
      <c r="A146" s="254" t="s">
        <v>622</v>
      </c>
      <c r="B146" s="254" t="s">
        <v>623</v>
      </c>
    </row>
    <row r="147" spans="1:2" x14ac:dyDescent="0.2">
      <c r="A147" s="254" t="s">
        <v>757</v>
      </c>
      <c r="B147" s="254" t="s">
        <v>758</v>
      </c>
    </row>
    <row r="148" spans="1:2" x14ac:dyDescent="0.2">
      <c r="A148" s="254" t="s">
        <v>616</v>
      </c>
      <c r="B148" s="254" t="s">
        <v>617</v>
      </c>
    </row>
    <row r="149" spans="1:2" x14ac:dyDescent="0.2">
      <c r="A149" s="254" t="s">
        <v>629</v>
      </c>
      <c r="B149" s="254" t="s">
        <v>630</v>
      </c>
    </row>
    <row r="150" spans="1:2" x14ac:dyDescent="0.2">
      <c r="A150" s="254" t="s">
        <v>759</v>
      </c>
      <c r="B150" s="254" t="s">
        <v>760</v>
      </c>
    </row>
    <row r="151" spans="1:2" x14ac:dyDescent="0.2">
      <c r="A151" s="254" t="s">
        <v>598</v>
      </c>
      <c r="B151" s="254" t="s">
        <v>599</v>
      </c>
    </row>
    <row r="152" spans="1:2" x14ac:dyDescent="0.2">
      <c r="A152" s="254" t="s">
        <v>761</v>
      </c>
      <c r="B152" s="254" t="s">
        <v>762</v>
      </c>
    </row>
    <row r="153" spans="1:2" x14ac:dyDescent="0.2">
      <c r="A153" s="254" t="s">
        <v>613</v>
      </c>
      <c r="B153" s="254" t="s">
        <v>614</v>
      </c>
    </row>
    <row r="154" spans="1:2" x14ac:dyDescent="0.2">
      <c r="A154" s="254" t="s">
        <v>763</v>
      </c>
      <c r="B154" s="254" t="s">
        <v>764</v>
      </c>
    </row>
    <row r="155" spans="1:2" x14ac:dyDescent="0.2">
      <c r="A155" s="254" t="s">
        <v>765</v>
      </c>
      <c r="B155" s="254" t="s">
        <v>766</v>
      </c>
    </row>
    <row r="156" spans="1:2" x14ac:dyDescent="0.2">
      <c r="A156" s="254" t="s">
        <v>767</v>
      </c>
      <c r="B156" s="254" t="s">
        <v>959</v>
      </c>
    </row>
    <row r="157" spans="1:2" x14ac:dyDescent="0.2">
      <c r="A157" s="254" t="s">
        <v>768</v>
      </c>
      <c r="B157" s="254" t="s">
        <v>769</v>
      </c>
    </row>
    <row r="158" spans="1:2" x14ac:dyDescent="0.2">
      <c r="A158" s="254" t="s">
        <v>770</v>
      </c>
      <c r="B158" s="254" t="s">
        <v>771</v>
      </c>
    </row>
    <row r="159" spans="1:2" x14ac:dyDescent="0.2">
      <c r="A159" s="254" t="s">
        <v>772</v>
      </c>
      <c r="B159" s="254" t="s">
        <v>773</v>
      </c>
    </row>
    <row r="160" spans="1:2" x14ac:dyDescent="0.2">
      <c r="A160" s="254" t="s">
        <v>774</v>
      </c>
      <c r="B160" s="254" t="s">
        <v>775</v>
      </c>
    </row>
    <row r="161" spans="1:2" x14ac:dyDescent="0.2">
      <c r="A161" s="254" t="s">
        <v>776</v>
      </c>
      <c r="B161" s="254" t="s">
        <v>777</v>
      </c>
    </row>
    <row r="162" spans="1:2" x14ac:dyDescent="0.2">
      <c r="A162" s="254" t="s">
        <v>778</v>
      </c>
      <c r="B162" s="254" t="s">
        <v>779</v>
      </c>
    </row>
    <row r="163" spans="1:2" x14ac:dyDescent="0.2">
      <c r="A163" s="254" t="s">
        <v>780</v>
      </c>
      <c r="B163" s="254" t="s">
        <v>781</v>
      </c>
    </row>
    <row r="164" spans="1:2" x14ac:dyDescent="0.2">
      <c r="A164" s="254" t="s">
        <v>782</v>
      </c>
      <c r="B164" s="254" t="s">
        <v>2243</v>
      </c>
    </row>
    <row r="165" spans="1:2" x14ac:dyDescent="0.2">
      <c r="A165" s="254" t="s">
        <v>578</v>
      </c>
      <c r="B165" s="254" t="s">
        <v>2244</v>
      </c>
    </row>
    <row r="166" spans="1:2" x14ac:dyDescent="0.2">
      <c r="A166" s="254" t="s">
        <v>783</v>
      </c>
      <c r="B166" s="254" t="s">
        <v>784</v>
      </c>
    </row>
    <row r="167" spans="1:2" x14ac:dyDescent="0.2">
      <c r="A167" s="254" t="s">
        <v>785</v>
      </c>
      <c r="B167" s="254" t="s">
        <v>786</v>
      </c>
    </row>
    <row r="168" spans="1:2" x14ac:dyDescent="0.2">
      <c r="A168" s="254" t="s">
        <v>596</v>
      </c>
      <c r="B168" s="254" t="s">
        <v>597</v>
      </c>
    </row>
    <row r="169" spans="1:2" x14ac:dyDescent="0.2">
      <c r="A169" s="254" t="s">
        <v>594</v>
      </c>
      <c r="B169" s="254" t="s">
        <v>595</v>
      </c>
    </row>
    <row r="170" spans="1:2" x14ac:dyDescent="0.2">
      <c r="A170" s="254" t="s">
        <v>585</v>
      </c>
      <c r="B170" s="254" t="s">
        <v>586</v>
      </c>
    </row>
    <row r="171" spans="1:2" x14ac:dyDescent="0.2">
      <c r="A171" s="254" t="s">
        <v>787</v>
      </c>
      <c r="B171" s="254" t="s">
        <v>788</v>
      </c>
    </row>
    <row r="172" spans="1:2" x14ac:dyDescent="0.2">
      <c r="A172" s="254" t="s">
        <v>789</v>
      </c>
      <c r="B172" s="254" t="s">
        <v>790</v>
      </c>
    </row>
    <row r="173" spans="1:2" x14ac:dyDescent="0.2">
      <c r="A173" s="254" t="s">
        <v>791</v>
      </c>
      <c r="B173" s="254" t="s">
        <v>792</v>
      </c>
    </row>
    <row r="174" spans="1:2" x14ac:dyDescent="0.2">
      <c r="A174" s="254" t="s">
        <v>607</v>
      </c>
      <c r="B174" s="254" t="s">
        <v>608</v>
      </c>
    </row>
    <row r="175" spans="1:2" x14ac:dyDescent="0.2">
      <c r="A175" s="254" t="s">
        <v>579</v>
      </c>
      <c r="B175" s="254" t="s">
        <v>580</v>
      </c>
    </row>
    <row r="176" spans="1:2" x14ac:dyDescent="0.2">
      <c r="A176" s="254" t="s">
        <v>582</v>
      </c>
      <c r="B176" s="254" t="s">
        <v>583</v>
      </c>
    </row>
    <row r="177" spans="1:2" x14ac:dyDescent="0.2">
      <c r="A177" s="254" t="s">
        <v>793</v>
      </c>
      <c r="B177" s="254" t="s">
        <v>794</v>
      </c>
    </row>
    <row r="178" spans="1:2" x14ac:dyDescent="0.2">
      <c r="A178" s="254" t="s">
        <v>795</v>
      </c>
      <c r="B178" s="254" t="s">
        <v>796</v>
      </c>
    </row>
    <row r="179" spans="1:2" x14ac:dyDescent="0.2">
      <c r="A179" s="254" t="s">
        <v>592</v>
      </c>
      <c r="B179" s="254" t="s">
        <v>593</v>
      </c>
    </row>
    <row r="180" spans="1:2" x14ac:dyDescent="0.2">
      <c r="A180" s="254" t="s">
        <v>797</v>
      </c>
      <c r="B180" s="254" t="s">
        <v>2245</v>
      </c>
    </row>
    <row r="181" spans="1:2" x14ac:dyDescent="0.2">
      <c r="A181" s="254" t="s">
        <v>636</v>
      </c>
      <c r="B181" s="254" t="s">
        <v>637</v>
      </c>
    </row>
    <row r="182" spans="1:2" x14ac:dyDescent="0.2">
      <c r="A182" s="254" t="s">
        <v>798</v>
      </c>
      <c r="B182" s="254" t="s">
        <v>799</v>
      </c>
    </row>
    <row r="183" spans="1:2" x14ac:dyDescent="0.2">
      <c r="A183" s="254" t="s">
        <v>800</v>
      </c>
      <c r="B183" s="254" t="s">
        <v>2246</v>
      </c>
    </row>
    <row r="184" spans="1:2" x14ac:dyDescent="0.2">
      <c r="A184" s="254" t="s">
        <v>801</v>
      </c>
      <c r="B184" s="254" t="s">
        <v>802</v>
      </c>
    </row>
    <row r="185" spans="1:2" x14ac:dyDescent="0.2">
      <c r="A185" s="254" t="s">
        <v>803</v>
      </c>
      <c r="B185" s="254" t="s">
        <v>804</v>
      </c>
    </row>
    <row r="186" spans="1:2" x14ac:dyDescent="0.2">
      <c r="A186" s="254" t="s">
        <v>805</v>
      </c>
      <c r="B186" s="254" t="s">
        <v>806</v>
      </c>
    </row>
    <row r="187" spans="1:2" x14ac:dyDescent="0.2">
      <c r="A187" s="254" t="s">
        <v>807</v>
      </c>
      <c r="B187" s="254" t="s">
        <v>2247</v>
      </c>
    </row>
    <row r="188" spans="1:2" x14ac:dyDescent="0.2">
      <c r="A188" s="254" t="s">
        <v>808</v>
      </c>
      <c r="B188" s="254" t="s">
        <v>809</v>
      </c>
    </row>
    <row r="189" spans="1:2" x14ac:dyDescent="0.2">
      <c r="A189" s="254" t="s">
        <v>960</v>
      </c>
      <c r="B189" s="254" t="s">
        <v>961</v>
      </c>
    </row>
    <row r="190" spans="1:2" x14ac:dyDescent="0.2">
      <c r="A190" s="254" t="s">
        <v>810</v>
      </c>
      <c r="B190" s="254" t="s">
        <v>2248</v>
      </c>
    </row>
    <row r="191" spans="1:2" x14ac:dyDescent="0.2">
      <c r="A191" s="254" t="s">
        <v>581</v>
      </c>
      <c r="B191" s="254" t="s">
        <v>1685</v>
      </c>
    </row>
    <row r="192" spans="1:2" x14ac:dyDescent="0.2">
      <c r="A192" s="254" t="s">
        <v>962</v>
      </c>
      <c r="B192" s="254" t="s">
        <v>2249</v>
      </c>
    </row>
    <row r="193" spans="1:2" x14ac:dyDescent="0.2">
      <c r="A193" s="254" t="s">
        <v>963</v>
      </c>
      <c r="B193" s="254" t="s">
        <v>964</v>
      </c>
    </row>
    <row r="194" spans="1:2" x14ac:dyDescent="0.2">
      <c r="A194" s="254" t="s">
        <v>641</v>
      </c>
      <c r="B194" s="254" t="s">
        <v>642</v>
      </c>
    </row>
    <row r="195" spans="1:2" x14ac:dyDescent="0.2">
      <c r="A195" s="254" t="s">
        <v>811</v>
      </c>
      <c r="B195" s="254" t="s">
        <v>812</v>
      </c>
    </row>
    <row r="196" spans="1:2" x14ac:dyDescent="0.2">
      <c r="A196" s="254" t="s">
        <v>659</v>
      </c>
      <c r="B196" s="254" t="s">
        <v>660</v>
      </c>
    </row>
    <row r="197" spans="1:2" x14ac:dyDescent="0.2">
      <c r="A197" s="254" t="s">
        <v>965</v>
      </c>
      <c r="B197" s="254" t="s">
        <v>2250</v>
      </c>
    </row>
    <row r="198" spans="1:2" x14ac:dyDescent="0.2">
      <c r="A198" s="254" t="s">
        <v>589</v>
      </c>
      <c r="B198" s="254" t="s">
        <v>2251</v>
      </c>
    </row>
    <row r="199" spans="1:2" x14ac:dyDescent="0.2">
      <c r="A199" s="254" t="s">
        <v>656</v>
      </c>
      <c r="B199" s="254" t="s">
        <v>657</v>
      </c>
    </row>
    <row r="200" spans="1:2" x14ac:dyDescent="0.2">
      <c r="A200" s="254" t="s">
        <v>813</v>
      </c>
      <c r="B200" s="254" t="s">
        <v>2252</v>
      </c>
    </row>
    <row r="201" spans="1:2" x14ac:dyDescent="0.2">
      <c r="A201" s="254" t="s">
        <v>814</v>
      </c>
      <c r="B201" s="254" t="s">
        <v>815</v>
      </c>
    </row>
    <row r="202" spans="1:2" x14ac:dyDescent="0.2">
      <c r="A202" s="254" t="s">
        <v>626</v>
      </c>
      <c r="B202" s="254" t="s">
        <v>627</v>
      </c>
    </row>
    <row r="203" spans="1:2" x14ac:dyDescent="0.2">
      <c r="A203" s="254" t="s">
        <v>675</v>
      </c>
      <c r="B203" s="254" t="s">
        <v>676</v>
      </c>
    </row>
    <row r="204" spans="1:2" x14ac:dyDescent="0.2">
      <c r="A204" s="254" t="s">
        <v>816</v>
      </c>
      <c r="B204" s="254" t="s">
        <v>817</v>
      </c>
    </row>
    <row r="205" spans="1:2" x14ac:dyDescent="0.2">
      <c r="A205" s="254" t="s">
        <v>818</v>
      </c>
      <c r="B205" s="254" t="s">
        <v>2253</v>
      </c>
    </row>
    <row r="206" spans="1:2" x14ac:dyDescent="0.2">
      <c r="A206" s="254" t="s">
        <v>649</v>
      </c>
      <c r="B206" s="254" t="s">
        <v>2254</v>
      </c>
    </row>
    <row r="207" spans="1:2" x14ac:dyDescent="0.2">
      <c r="A207" s="254" t="s">
        <v>819</v>
      </c>
      <c r="B207" s="254" t="s">
        <v>2380</v>
      </c>
    </row>
    <row r="208" spans="1:2" x14ac:dyDescent="0.2">
      <c r="A208" s="254" t="s">
        <v>820</v>
      </c>
      <c r="B208" s="254" t="s">
        <v>2255</v>
      </c>
    </row>
    <row r="209" spans="1:2" x14ac:dyDescent="0.2">
      <c r="A209" s="254" t="s">
        <v>603</v>
      </c>
      <c r="B209" s="254" t="s">
        <v>2256</v>
      </c>
    </row>
    <row r="210" spans="1:2" x14ac:dyDescent="0.2">
      <c r="A210" s="254" t="s">
        <v>633</v>
      </c>
      <c r="B210" s="254" t="s">
        <v>2257</v>
      </c>
    </row>
    <row r="211" spans="1:2" x14ac:dyDescent="0.2">
      <c r="A211" s="254" t="s">
        <v>605</v>
      </c>
      <c r="B211" s="254" t="s">
        <v>606</v>
      </c>
    </row>
    <row r="212" spans="1:2" x14ac:dyDescent="0.2">
      <c r="A212" s="254" t="s">
        <v>821</v>
      </c>
      <c r="B212" s="254" t="s">
        <v>2258</v>
      </c>
    </row>
    <row r="213" spans="1:2" x14ac:dyDescent="0.2">
      <c r="A213" s="254" t="s">
        <v>611</v>
      </c>
      <c r="B213" s="254" t="s">
        <v>612</v>
      </c>
    </row>
    <row r="214" spans="1:2" x14ac:dyDescent="0.2">
      <c r="A214" s="254" t="s">
        <v>966</v>
      </c>
      <c r="B214" s="254" t="s">
        <v>2259</v>
      </c>
    </row>
    <row r="215" spans="1:2" x14ac:dyDescent="0.2">
      <c r="A215" s="254" t="s">
        <v>590</v>
      </c>
      <c r="B215" s="254" t="s">
        <v>591</v>
      </c>
    </row>
    <row r="216" spans="1:2" x14ac:dyDescent="0.2">
      <c r="A216" s="254" t="s">
        <v>665</v>
      </c>
      <c r="B216" s="254" t="s">
        <v>666</v>
      </c>
    </row>
    <row r="217" spans="1:2" x14ac:dyDescent="0.2">
      <c r="A217" s="254" t="s">
        <v>668</v>
      </c>
      <c r="B217" s="254" t="s">
        <v>669</v>
      </c>
    </row>
    <row r="218" spans="1:2" x14ac:dyDescent="0.2">
      <c r="A218" s="254" t="s">
        <v>645</v>
      </c>
      <c r="B218" s="254" t="s">
        <v>646</v>
      </c>
    </row>
    <row r="219" spans="1:2" x14ac:dyDescent="0.2">
      <c r="A219" s="254" t="s">
        <v>643</v>
      </c>
      <c r="B219" s="254" t="s">
        <v>644</v>
      </c>
    </row>
    <row r="220" spans="1:2" x14ac:dyDescent="0.2">
      <c r="A220" s="254" t="s">
        <v>620</v>
      </c>
      <c r="B220" s="254" t="s">
        <v>621</v>
      </c>
    </row>
    <row r="221" spans="1:2" x14ac:dyDescent="0.2">
      <c r="A221" s="254" t="s">
        <v>575</v>
      </c>
      <c r="B221" s="254" t="s">
        <v>576</v>
      </c>
    </row>
    <row r="222" spans="1:2" x14ac:dyDescent="0.2">
      <c r="A222" s="254" t="s">
        <v>822</v>
      </c>
      <c r="B222" s="254" t="s">
        <v>823</v>
      </c>
    </row>
    <row r="223" spans="1:2" x14ac:dyDescent="0.2">
      <c r="A223" s="254" t="s">
        <v>609</v>
      </c>
      <c r="B223" s="254" t="s">
        <v>610</v>
      </c>
    </row>
    <row r="224" spans="1:2" x14ac:dyDescent="0.2">
      <c r="A224" s="254" t="s">
        <v>992</v>
      </c>
      <c r="B224" s="254" t="s">
        <v>2260</v>
      </c>
    </row>
    <row r="225" spans="1:2" x14ac:dyDescent="0.2">
      <c r="A225" s="254" t="s">
        <v>824</v>
      </c>
      <c r="B225" s="254" t="s">
        <v>825</v>
      </c>
    </row>
    <row r="226" spans="1:2" x14ac:dyDescent="0.2">
      <c r="A226" s="254" t="s">
        <v>967</v>
      </c>
      <c r="B226" s="254" t="s">
        <v>968</v>
      </c>
    </row>
    <row r="227" spans="1:2" x14ac:dyDescent="0.2">
      <c r="A227" s="254" t="s">
        <v>969</v>
      </c>
      <c r="B227" s="254" t="s">
        <v>2261</v>
      </c>
    </row>
    <row r="228" spans="1:2" x14ac:dyDescent="0.2">
      <c r="A228" s="254" t="s">
        <v>661</v>
      </c>
      <c r="B228" s="254" t="s">
        <v>2262</v>
      </c>
    </row>
    <row r="229" spans="1:2" x14ac:dyDescent="0.2">
      <c r="A229" s="254" t="s">
        <v>826</v>
      </c>
      <c r="B229" s="254" t="s">
        <v>827</v>
      </c>
    </row>
    <row r="230" spans="1:2" x14ac:dyDescent="0.2">
      <c r="A230" s="254" t="s">
        <v>828</v>
      </c>
      <c r="B230" s="254" t="s">
        <v>837</v>
      </c>
    </row>
    <row r="231" spans="1:2" x14ac:dyDescent="0.2">
      <c r="A231" s="254" t="s">
        <v>829</v>
      </c>
      <c r="B231" s="254" t="s">
        <v>830</v>
      </c>
    </row>
    <row r="232" spans="1:2" x14ac:dyDescent="0.2">
      <c r="A232" s="254" t="s">
        <v>650</v>
      </c>
      <c r="B232" s="254" t="s">
        <v>2263</v>
      </c>
    </row>
    <row r="233" spans="1:2" x14ac:dyDescent="0.2">
      <c r="A233" s="254" t="s">
        <v>584</v>
      </c>
      <c r="B233" s="254" t="s">
        <v>2264</v>
      </c>
    </row>
    <row r="234" spans="1:2" x14ac:dyDescent="0.2">
      <c r="A234" s="254" t="s">
        <v>831</v>
      </c>
      <c r="B234" s="254" t="s">
        <v>2265</v>
      </c>
    </row>
    <row r="235" spans="1:2" x14ac:dyDescent="0.2">
      <c r="A235" s="254" t="s">
        <v>832</v>
      </c>
      <c r="B235" s="254" t="s">
        <v>2266</v>
      </c>
    </row>
    <row r="236" spans="1:2" x14ac:dyDescent="0.2">
      <c r="A236" s="254" t="s">
        <v>2080</v>
      </c>
      <c r="B236" s="254" t="s">
        <v>2267</v>
      </c>
    </row>
    <row r="237" spans="1:2" x14ac:dyDescent="0.2">
      <c r="A237" s="254" t="s">
        <v>833</v>
      </c>
      <c r="B237" s="254" t="s">
        <v>2268</v>
      </c>
    </row>
    <row r="238" spans="1:2" x14ac:dyDescent="0.2">
      <c r="A238" s="254" t="s">
        <v>834</v>
      </c>
      <c r="B238" s="254" t="s">
        <v>835</v>
      </c>
    </row>
    <row r="239" spans="1:2" x14ac:dyDescent="0.2">
      <c r="A239" s="254" t="s">
        <v>836</v>
      </c>
      <c r="B239" s="254" t="s">
        <v>837</v>
      </c>
    </row>
    <row r="240" spans="1:2" x14ac:dyDescent="0.2">
      <c r="A240" s="254" t="s">
        <v>838</v>
      </c>
      <c r="B240" s="254" t="s">
        <v>839</v>
      </c>
    </row>
    <row r="241" spans="1:2" x14ac:dyDescent="0.2">
      <c r="A241" s="254" t="s">
        <v>840</v>
      </c>
      <c r="B241" s="254" t="s">
        <v>841</v>
      </c>
    </row>
    <row r="242" spans="1:2" x14ac:dyDescent="0.2">
      <c r="A242" s="254" t="s">
        <v>842</v>
      </c>
      <c r="B242" s="254" t="s">
        <v>2269</v>
      </c>
    </row>
    <row r="243" spans="1:2" x14ac:dyDescent="0.2">
      <c r="A243" s="254" t="s">
        <v>843</v>
      </c>
      <c r="B243" s="254" t="s">
        <v>970</v>
      </c>
    </row>
    <row r="244" spans="1:2" x14ac:dyDescent="0.2">
      <c r="A244" s="254" t="s">
        <v>844</v>
      </c>
      <c r="B244" s="254" t="s">
        <v>845</v>
      </c>
    </row>
    <row r="245" spans="1:2" x14ac:dyDescent="0.2">
      <c r="A245" s="254" t="s">
        <v>631</v>
      </c>
      <c r="B245" s="254" t="s">
        <v>632</v>
      </c>
    </row>
    <row r="246" spans="1:2" x14ac:dyDescent="0.2">
      <c r="A246" s="254" t="s">
        <v>846</v>
      </c>
      <c r="B246" s="254" t="s">
        <v>971</v>
      </c>
    </row>
    <row r="247" spans="1:2" x14ac:dyDescent="0.2">
      <c r="A247" s="254" t="s">
        <v>993</v>
      </c>
      <c r="B247" s="254" t="s">
        <v>2270</v>
      </c>
    </row>
    <row r="248" spans="1:2" x14ac:dyDescent="0.2">
      <c r="A248" s="254" t="s">
        <v>847</v>
      </c>
      <c r="B248" s="254" t="s">
        <v>848</v>
      </c>
    </row>
    <row r="249" spans="1:2" x14ac:dyDescent="0.2">
      <c r="A249" s="254" t="s">
        <v>849</v>
      </c>
      <c r="B249" s="254" t="s">
        <v>972</v>
      </c>
    </row>
    <row r="250" spans="1:2" x14ac:dyDescent="0.2">
      <c r="A250" s="254" t="s">
        <v>850</v>
      </c>
      <c r="B250" s="254" t="s">
        <v>973</v>
      </c>
    </row>
    <row r="251" spans="1:2" x14ac:dyDescent="0.2">
      <c r="A251" s="254" t="s">
        <v>851</v>
      </c>
      <c r="B251" s="254" t="s">
        <v>974</v>
      </c>
    </row>
    <row r="252" spans="1:2" x14ac:dyDescent="0.2">
      <c r="A252" s="254" t="s">
        <v>852</v>
      </c>
      <c r="B252" s="254" t="s">
        <v>975</v>
      </c>
    </row>
    <row r="253" spans="1:2" x14ac:dyDescent="0.2">
      <c r="A253" s="254" t="s">
        <v>853</v>
      </c>
      <c r="B253" s="254" t="s">
        <v>976</v>
      </c>
    </row>
    <row r="254" spans="1:2" x14ac:dyDescent="0.2">
      <c r="A254" s="254" t="s">
        <v>854</v>
      </c>
      <c r="B254" s="254" t="s">
        <v>977</v>
      </c>
    </row>
    <row r="255" spans="1:2" x14ac:dyDescent="0.2">
      <c r="A255" s="254" t="s">
        <v>855</v>
      </c>
      <c r="B255" s="254" t="s">
        <v>856</v>
      </c>
    </row>
    <row r="256" spans="1:2" x14ac:dyDescent="0.2">
      <c r="A256" s="254" t="s">
        <v>994</v>
      </c>
      <c r="B256" s="254" t="s">
        <v>2271</v>
      </c>
    </row>
    <row r="257" spans="1:2" x14ac:dyDescent="0.2">
      <c r="A257" s="254" t="s">
        <v>995</v>
      </c>
      <c r="B257" s="254" t="s">
        <v>2272</v>
      </c>
    </row>
    <row r="258" spans="1:2" x14ac:dyDescent="0.2">
      <c r="A258" s="254" t="s">
        <v>857</v>
      </c>
      <c r="B258" s="254" t="s">
        <v>978</v>
      </c>
    </row>
    <row r="259" spans="1:2" x14ac:dyDescent="0.2">
      <c r="A259" s="254" t="s">
        <v>858</v>
      </c>
      <c r="B259" s="254" t="s">
        <v>979</v>
      </c>
    </row>
    <row r="260" spans="1:2" x14ac:dyDescent="0.2">
      <c r="A260" s="254" t="s">
        <v>859</v>
      </c>
      <c r="B260" s="254" t="s">
        <v>980</v>
      </c>
    </row>
    <row r="261" spans="1:2" x14ac:dyDescent="0.2">
      <c r="A261" s="254" t="s">
        <v>996</v>
      </c>
      <c r="B261" s="254" t="s">
        <v>2273</v>
      </c>
    </row>
    <row r="262" spans="1:2" x14ac:dyDescent="0.2">
      <c r="A262" s="254" t="s">
        <v>997</v>
      </c>
      <c r="B262" s="254" t="s">
        <v>998</v>
      </c>
    </row>
    <row r="263" spans="1:2" x14ac:dyDescent="0.2">
      <c r="A263" s="254" t="s">
        <v>2081</v>
      </c>
      <c r="B263" s="254" t="s">
        <v>2274</v>
      </c>
    </row>
    <row r="264" spans="1:2" x14ac:dyDescent="0.2">
      <c r="A264" s="254" t="s">
        <v>981</v>
      </c>
      <c r="B264" s="254" t="s">
        <v>982</v>
      </c>
    </row>
    <row r="265" spans="1:2" x14ac:dyDescent="0.2">
      <c r="A265" s="254" t="s">
        <v>983</v>
      </c>
      <c r="B265" s="254" t="s">
        <v>984</v>
      </c>
    </row>
    <row r="266" spans="1:2" x14ac:dyDescent="0.2">
      <c r="A266" s="254" t="s">
        <v>985</v>
      </c>
      <c r="B266" s="254" t="s">
        <v>588</v>
      </c>
    </row>
    <row r="267" spans="1:2" x14ac:dyDescent="0.2">
      <c r="A267" s="254" t="s">
        <v>986</v>
      </c>
      <c r="B267" s="254" t="s">
        <v>987</v>
      </c>
    </row>
    <row r="268" spans="1:2" x14ac:dyDescent="0.2">
      <c r="A268" s="254" t="s">
        <v>988</v>
      </c>
      <c r="B268" s="254" t="s">
        <v>989</v>
      </c>
    </row>
    <row r="269" spans="1:2" x14ac:dyDescent="0.2">
      <c r="A269" s="254" t="s">
        <v>990</v>
      </c>
      <c r="B269" s="254" t="s">
        <v>991</v>
      </c>
    </row>
    <row r="270" spans="1:2" x14ac:dyDescent="0.2">
      <c r="A270" s="254" t="s">
        <v>2082</v>
      </c>
      <c r="B270" s="254" t="s">
        <v>2275</v>
      </c>
    </row>
    <row r="271" spans="1:2" x14ac:dyDescent="0.2">
      <c r="A271" s="254" t="s">
        <v>2083</v>
      </c>
      <c r="B271" s="254" t="s">
        <v>2276</v>
      </c>
    </row>
    <row r="272" spans="1:2" x14ac:dyDescent="0.2">
      <c r="A272" s="254" t="s">
        <v>2084</v>
      </c>
      <c r="B272" s="254" t="s">
        <v>2277</v>
      </c>
    </row>
    <row r="273" spans="1:2" x14ac:dyDescent="0.2">
      <c r="A273" s="254" t="s">
        <v>2085</v>
      </c>
      <c r="B273" s="254" t="s">
        <v>2278</v>
      </c>
    </row>
    <row r="274" spans="1:2" x14ac:dyDescent="0.2">
      <c r="A274" s="254" t="s">
        <v>999</v>
      </c>
      <c r="B274" s="254" t="s">
        <v>2279</v>
      </c>
    </row>
    <row r="275" spans="1:2" x14ac:dyDescent="0.2">
      <c r="A275" s="254" t="s">
        <v>1000</v>
      </c>
      <c r="B275" s="254" t="s">
        <v>2280</v>
      </c>
    </row>
    <row r="276" spans="1:2" x14ac:dyDescent="0.2">
      <c r="A276" s="254" t="s">
        <v>1001</v>
      </c>
      <c r="B276" s="254" t="s">
        <v>2281</v>
      </c>
    </row>
    <row r="277" spans="1:2" x14ac:dyDescent="0.2">
      <c r="A277" s="254" t="s">
        <v>1002</v>
      </c>
      <c r="B277" s="254" t="s">
        <v>2282</v>
      </c>
    </row>
    <row r="278" spans="1:2" x14ac:dyDescent="0.2">
      <c r="A278" s="254" t="s">
        <v>1003</v>
      </c>
      <c r="B278" s="254" t="s">
        <v>2283</v>
      </c>
    </row>
    <row r="279" spans="1:2" x14ac:dyDescent="0.2">
      <c r="A279" s="254" t="s">
        <v>1004</v>
      </c>
      <c r="B279" s="254" t="s">
        <v>2284</v>
      </c>
    </row>
    <row r="280" spans="1:2" x14ac:dyDescent="0.2">
      <c r="A280" s="254" t="s">
        <v>1005</v>
      </c>
      <c r="B280" s="254" t="s">
        <v>2285</v>
      </c>
    </row>
    <row r="281" spans="1:2" x14ac:dyDescent="0.2">
      <c r="A281" s="254" t="s">
        <v>1006</v>
      </c>
      <c r="B281" s="254" t="s">
        <v>2286</v>
      </c>
    </row>
    <row r="282" spans="1:2" x14ac:dyDescent="0.2">
      <c r="A282" s="254" t="s">
        <v>1007</v>
      </c>
      <c r="B282" s="254" t="s">
        <v>2287</v>
      </c>
    </row>
    <row r="283" spans="1:2" x14ac:dyDescent="0.2">
      <c r="A283" s="254" t="s">
        <v>1008</v>
      </c>
      <c r="B283" s="254" t="s">
        <v>2288</v>
      </c>
    </row>
    <row r="284" spans="1:2" x14ac:dyDescent="0.2">
      <c r="A284" s="254" t="s">
        <v>1009</v>
      </c>
      <c r="B284" s="254" t="s">
        <v>2289</v>
      </c>
    </row>
    <row r="285" spans="1:2" x14ac:dyDescent="0.2">
      <c r="A285" s="254" t="s">
        <v>1010</v>
      </c>
      <c r="B285" s="254" t="s">
        <v>2290</v>
      </c>
    </row>
    <row r="286" spans="1:2" x14ac:dyDescent="0.2">
      <c r="A286" s="254" t="s">
        <v>1011</v>
      </c>
      <c r="B286" s="254" t="s">
        <v>2291</v>
      </c>
    </row>
    <row r="287" spans="1:2" x14ac:dyDescent="0.2">
      <c r="A287" s="254" t="s">
        <v>2086</v>
      </c>
      <c r="B287" s="254" t="s">
        <v>2292</v>
      </c>
    </row>
    <row r="288" spans="1:2" x14ac:dyDescent="0.2">
      <c r="A288" s="254" t="s">
        <v>1012</v>
      </c>
      <c r="B288" s="254" t="s">
        <v>2293</v>
      </c>
    </row>
    <row r="289" spans="1:2" x14ac:dyDescent="0.2">
      <c r="A289" s="254" t="s">
        <v>1013</v>
      </c>
      <c r="B289" s="254" t="s">
        <v>2294</v>
      </c>
    </row>
    <row r="290" spans="1:2" x14ac:dyDescent="0.2">
      <c r="A290" s="254" t="s">
        <v>1682</v>
      </c>
      <c r="B290" s="254" t="s">
        <v>1684</v>
      </c>
    </row>
    <row r="291" spans="1:2" x14ac:dyDescent="0.2">
      <c r="A291" s="254" t="s">
        <v>1681</v>
      </c>
      <c r="B291" s="254" t="s">
        <v>1683</v>
      </c>
    </row>
    <row r="292" spans="1:2" x14ac:dyDescent="0.2">
      <c r="A292" s="254" t="s">
        <v>2087</v>
      </c>
      <c r="B292" s="254" t="s">
        <v>2295</v>
      </c>
    </row>
    <row r="293" spans="1:2" x14ac:dyDescent="0.2">
      <c r="A293" s="254" t="s">
        <v>2088</v>
      </c>
      <c r="B293" s="254" t="s">
        <v>2296</v>
      </c>
    </row>
    <row r="294" spans="1:2" x14ac:dyDescent="0.2">
      <c r="A294" s="254" t="s">
        <v>2089</v>
      </c>
      <c r="B294" s="254" t="s">
        <v>2297</v>
      </c>
    </row>
    <row r="295" spans="1:2" x14ac:dyDescent="0.2">
      <c r="A295" s="254" t="s">
        <v>2090</v>
      </c>
      <c r="B295" s="254" t="s">
        <v>2298</v>
      </c>
    </row>
    <row r="296" spans="1:2" x14ac:dyDescent="0.2">
      <c r="A296" s="254" t="s">
        <v>2091</v>
      </c>
      <c r="B296" s="254" t="s">
        <v>2299</v>
      </c>
    </row>
    <row r="297" spans="1:2" x14ac:dyDescent="0.2">
      <c r="A297" s="254" t="s">
        <v>2092</v>
      </c>
      <c r="B297" s="254" t="s">
        <v>2300</v>
      </c>
    </row>
    <row r="298" spans="1:2" x14ac:dyDescent="0.2">
      <c r="A298" s="254" t="s">
        <v>2093</v>
      </c>
      <c r="B298" s="254" t="s">
        <v>2301</v>
      </c>
    </row>
    <row r="299" spans="1:2" x14ac:dyDescent="0.2">
      <c r="A299" s="254" t="s">
        <v>2094</v>
      </c>
      <c r="B299" s="254" t="s">
        <v>2302</v>
      </c>
    </row>
    <row r="300" spans="1:2" x14ac:dyDescent="0.2">
      <c r="A300" s="254" t="s">
        <v>2095</v>
      </c>
      <c r="B300" s="254" t="s">
        <v>2303</v>
      </c>
    </row>
    <row r="301" spans="1:2" x14ac:dyDescent="0.2">
      <c r="A301" s="254" t="s">
        <v>2096</v>
      </c>
      <c r="B301" s="254" t="s">
        <v>2304</v>
      </c>
    </row>
    <row r="302" spans="1:2" x14ac:dyDescent="0.2">
      <c r="A302" s="254" t="s">
        <v>2097</v>
      </c>
      <c r="B302" s="254" t="s">
        <v>2305</v>
      </c>
    </row>
    <row r="303" spans="1:2" x14ac:dyDescent="0.2">
      <c r="A303" s="254" t="s">
        <v>2098</v>
      </c>
      <c r="B303" s="254" t="s">
        <v>2306</v>
      </c>
    </row>
    <row r="304" spans="1:2" x14ac:dyDescent="0.2">
      <c r="A304" s="254" t="s">
        <v>2099</v>
      </c>
      <c r="B304" s="254" t="s">
        <v>2307</v>
      </c>
    </row>
    <row r="305" spans="1:2" x14ac:dyDescent="0.2">
      <c r="A305" s="254" t="s">
        <v>2100</v>
      </c>
      <c r="B305" s="254" t="s">
        <v>2308</v>
      </c>
    </row>
    <row r="306" spans="1:2" x14ac:dyDescent="0.2">
      <c r="A306" s="254" t="s">
        <v>2101</v>
      </c>
      <c r="B306" s="254" t="s">
        <v>2309</v>
      </c>
    </row>
    <row r="307" spans="1:2" x14ac:dyDescent="0.2">
      <c r="A307" s="254" t="s">
        <v>2102</v>
      </c>
      <c r="B307" s="254" t="s">
        <v>2310</v>
      </c>
    </row>
    <row r="308" spans="1:2" x14ac:dyDescent="0.2">
      <c r="A308" s="254" t="s">
        <v>2103</v>
      </c>
      <c r="B308" s="254" t="s">
        <v>2311</v>
      </c>
    </row>
    <row r="309" spans="1:2" x14ac:dyDescent="0.2">
      <c r="A309" s="254" t="s">
        <v>2104</v>
      </c>
      <c r="B309" s="254" t="s">
        <v>2312</v>
      </c>
    </row>
    <row r="310" spans="1:2" x14ac:dyDescent="0.2">
      <c r="A310" s="254" t="s">
        <v>2105</v>
      </c>
      <c r="B310" s="254" t="s">
        <v>2313</v>
      </c>
    </row>
    <row r="311" spans="1:2" x14ac:dyDescent="0.2">
      <c r="A311" s="254" t="s">
        <v>2106</v>
      </c>
      <c r="B311" s="254" t="s">
        <v>2314</v>
      </c>
    </row>
    <row r="312" spans="1:2" x14ac:dyDescent="0.2">
      <c r="A312" s="254" t="s">
        <v>2107</v>
      </c>
      <c r="B312" s="254" t="s">
        <v>2315</v>
      </c>
    </row>
    <row r="313" spans="1:2" x14ac:dyDescent="0.2">
      <c r="A313" s="254" t="s">
        <v>2108</v>
      </c>
      <c r="B313" s="254" t="s">
        <v>2316</v>
      </c>
    </row>
    <row r="314" spans="1:2" x14ac:dyDescent="0.2">
      <c r="A314" s="254" t="s">
        <v>2109</v>
      </c>
      <c r="B314" s="254" t="s">
        <v>2317</v>
      </c>
    </row>
    <row r="315" spans="1:2" x14ac:dyDescent="0.2">
      <c r="A315" s="254" t="s">
        <v>2110</v>
      </c>
      <c r="B315" s="254" t="s">
        <v>2318</v>
      </c>
    </row>
    <row r="316" spans="1:2" x14ac:dyDescent="0.2">
      <c r="A316" s="254" t="s">
        <v>2111</v>
      </c>
      <c r="B316" s="254" t="s">
        <v>2319</v>
      </c>
    </row>
    <row r="317" spans="1:2" x14ac:dyDescent="0.2">
      <c r="A317" s="254" t="s">
        <v>2112</v>
      </c>
      <c r="B317" s="254" t="s">
        <v>2320</v>
      </c>
    </row>
    <row r="318" spans="1:2" x14ac:dyDescent="0.2">
      <c r="A318" s="254" t="s">
        <v>2113</v>
      </c>
      <c r="B318" s="254" t="s">
        <v>2321</v>
      </c>
    </row>
    <row r="319" spans="1:2" x14ac:dyDescent="0.2">
      <c r="A319" s="254" t="s">
        <v>2114</v>
      </c>
      <c r="B319" s="254" t="s">
        <v>2322</v>
      </c>
    </row>
    <row r="320" spans="1:2" x14ac:dyDescent="0.2">
      <c r="A320" s="254" t="s">
        <v>2115</v>
      </c>
      <c r="B320" s="254" t="s">
        <v>2323</v>
      </c>
    </row>
    <row r="321" spans="1:2" x14ac:dyDescent="0.2">
      <c r="A321" s="254" t="s">
        <v>2116</v>
      </c>
      <c r="B321" s="254" t="s">
        <v>2324</v>
      </c>
    </row>
    <row r="322" spans="1:2" x14ac:dyDescent="0.2">
      <c r="A322" s="254" t="s">
        <v>2117</v>
      </c>
      <c r="B322" s="254" t="s">
        <v>2325</v>
      </c>
    </row>
    <row r="323" spans="1:2" x14ac:dyDescent="0.2">
      <c r="A323" s="254" t="s">
        <v>2118</v>
      </c>
      <c r="B323" s="254" t="s">
        <v>2326</v>
      </c>
    </row>
    <row r="324" spans="1:2" x14ac:dyDescent="0.2">
      <c r="A324" s="254" t="s">
        <v>2119</v>
      </c>
      <c r="B324" s="254" t="s">
        <v>2327</v>
      </c>
    </row>
    <row r="325" spans="1:2" x14ac:dyDescent="0.2">
      <c r="A325" s="254" t="s">
        <v>2120</v>
      </c>
      <c r="B325" s="254" t="s">
        <v>2328</v>
      </c>
    </row>
    <row r="326" spans="1:2" x14ac:dyDescent="0.2">
      <c r="A326" s="254" t="s">
        <v>2121</v>
      </c>
      <c r="B326" s="254" t="s">
        <v>2329</v>
      </c>
    </row>
    <row r="327" spans="1:2" x14ac:dyDescent="0.2">
      <c r="A327" s="254" t="s">
        <v>2122</v>
      </c>
      <c r="B327" s="254" t="s">
        <v>2330</v>
      </c>
    </row>
    <row r="328" spans="1:2" x14ac:dyDescent="0.2">
      <c r="A328" s="254" t="s">
        <v>2123</v>
      </c>
      <c r="B328" s="254" t="s">
        <v>2331</v>
      </c>
    </row>
    <row r="329" spans="1:2" x14ac:dyDescent="0.2">
      <c r="A329" s="254" t="s">
        <v>2124</v>
      </c>
      <c r="B329" s="254" t="s">
        <v>2332</v>
      </c>
    </row>
    <row r="330" spans="1:2" x14ac:dyDescent="0.2">
      <c r="A330" s="254" t="s">
        <v>2125</v>
      </c>
      <c r="B330" s="254" t="s">
        <v>2333</v>
      </c>
    </row>
    <row r="331" spans="1:2" x14ac:dyDescent="0.2">
      <c r="A331" s="254" t="s">
        <v>2126</v>
      </c>
      <c r="B331" s="254" t="s">
        <v>2334</v>
      </c>
    </row>
    <row r="332" spans="1:2" x14ac:dyDescent="0.2">
      <c r="A332" s="254" t="s">
        <v>2127</v>
      </c>
      <c r="B332" s="254" t="s">
        <v>2335</v>
      </c>
    </row>
    <row r="333" spans="1:2" x14ac:dyDescent="0.2">
      <c r="A333" s="254" t="s">
        <v>2128</v>
      </c>
      <c r="B333" s="254" t="s">
        <v>2336</v>
      </c>
    </row>
    <row r="334" spans="1:2" x14ac:dyDescent="0.2">
      <c r="A334" s="254" t="s">
        <v>2129</v>
      </c>
      <c r="B334" s="254" t="s">
        <v>2337</v>
      </c>
    </row>
    <row r="335" spans="1:2" x14ac:dyDescent="0.2">
      <c r="A335" s="254" t="s">
        <v>2130</v>
      </c>
      <c r="B335" s="254" t="s">
        <v>2338</v>
      </c>
    </row>
    <row r="336" spans="1:2" x14ac:dyDescent="0.2">
      <c r="A336" s="254" t="s">
        <v>2131</v>
      </c>
      <c r="B336" s="254" t="s">
        <v>2339</v>
      </c>
    </row>
    <row r="337" spans="1:2" x14ac:dyDescent="0.2">
      <c r="A337" s="254" t="s">
        <v>2132</v>
      </c>
      <c r="B337" s="254" t="s">
        <v>2340</v>
      </c>
    </row>
    <row r="338" spans="1:2" x14ac:dyDescent="0.2">
      <c r="A338" s="254" t="s">
        <v>2133</v>
      </c>
      <c r="B338" s="254" t="s">
        <v>2341</v>
      </c>
    </row>
    <row r="339" spans="1:2" x14ac:dyDescent="0.2">
      <c r="A339" s="254" t="s">
        <v>2134</v>
      </c>
      <c r="B339" s="254" t="s">
        <v>2342</v>
      </c>
    </row>
    <row r="340" spans="1:2" x14ac:dyDescent="0.2">
      <c r="A340" s="254" t="s">
        <v>2135</v>
      </c>
      <c r="B340" s="254" t="s">
        <v>2343</v>
      </c>
    </row>
    <row r="341" spans="1:2" x14ac:dyDescent="0.2">
      <c r="A341" s="254" t="s">
        <v>2136</v>
      </c>
      <c r="B341" s="254" t="s">
        <v>2344</v>
      </c>
    </row>
    <row r="342" spans="1:2" x14ac:dyDescent="0.2">
      <c r="A342" s="254" t="s">
        <v>2137</v>
      </c>
      <c r="B342" s="254" t="s">
        <v>2345</v>
      </c>
    </row>
    <row r="343" spans="1:2" x14ac:dyDescent="0.2">
      <c r="A343" s="254" t="s">
        <v>2138</v>
      </c>
      <c r="B343" s="254" t="s">
        <v>2346</v>
      </c>
    </row>
    <row r="344" spans="1:2" x14ac:dyDescent="0.2">
      <c r="A344" s="254" t="s">
        <v>2139</v>
      </c>
      <c r="B344" s="254" t="s">
        <v>2347</v>
      </c>
    </row>
    <row r="345" spans="1:2" x14ac:dyDescent="0.2">
      <c r="A345" s="254" t="s">
        <v>2140</v>
      </c>
      <c r="B345" s="254" t="s">
        <v>2348</v>
      </c>
    </row>
    <row r="346" spans="1:2" x14ac:dyDescent="0.2">
      <c r="A346" s="254" t="s">
        <v>2141</v>
      </c>
      <c r="B346" s="254" t="s">
        <v>2349</v>
      </c>
    </row>
    <row r="347" spans="1:2" x14ac:dyDescent="0.2">
      <c r="A347" s="254" t="s">
        <v>2142</v>
      </c>
      <c r="B347" s="254" t="s">
        <v>2350</v>
      </c>
    </row>
    <row r="348" spans="1:2" x14ac:dyDescent="0.2">
      <c r="A348" s="254" t="s">
        <v>2143</v>
      </c>
      <c r="B348" s="254" t="s">
        <v>2351</v>
      </c>
    </row>
    <row r="349" spans="1:2" x14ac:dyDescent="0.2">
      <c r="A349" s="254" t="s">
        <v>2144</v>
      </c>
      <c r="B349" s="254" t="s">
        <v>2352</v>
      </c>
    </row>
    <row r="350" spans="1:2" x14ac:dyDescent="0.2">
      <c r="A350" s="254" t="s">
        <v>2145</v>
      </c>
      <c r="B350" s="254" t="s">
        <v>2353</v>
      </c>
    </row>
    <row r="351" spans="1:2" x14ac:dyDescent="0.2">
      <c r="A351" s="254" t="s">
        <v>2146</v>
      </c>
      <c r="B351" s="254" t="s">
        <v>2354</v>
      </c>
    </row>
    <row r="352" spans="1:2" x14ac:dyDescent="0.2">
      <c r="A352" s="254" t="s">
        <v>2147</v>
      </c>
      <c r="B352" s="254" t="s">
        <v>2355</v>
      </c>
    </row>
    <row r="353" spans="1:2" x14ac:dyDescent="0.2">
      <c r="A353" s="254" t="s">
        <v>2148</v>
      </c>
      <c r="B353" s="254" t="s">
        <v>2356</v>
      </c>
    </row>
    <row r="354" spans="1:2" x14ac:dyDescent="0.2">
      <c r="A354" s="254" t="s">
        <v>2149</v>
      </c>
      <c r="B354" s="254" t="s">
        <v>2357</v>
      </c>
    </row>
    <row r="355" spans="1:2" x14ac:dyDescent="0.2">
      <c r="A355" s="254" t="s">
        <v>2150</v>
      </c>
      <c r="B355" s="254" t="s">
        <v>2358</v>
      </c>
    </row>
    <row r="356" spans="1:2" x14ac:dyDescent="0.2">
      <c r="A356" s="254" t="s">
        <v>2151</v>
      </c>
      <c r="B356" s="254" t="s">
        <v>2359</v>
      </c>
    </row>
    <row r="357" spans="1:2" x14ac:dyDescent="0.2">
      <c r="A357" s="254" t="s">
        <v>2152</v>
      </c>
      <c r="B357" s="254" t="s">
        <v>2360</v>
      </c>
    </row>
    <row r="358" spans="1:2" x14ac:dyDescent="0.2">
      <c r="A358" s="254" t="s">
        <v>2153</v>
      </c>
      <c r="B358" s="254" t="s">
        <v>2361</v>
      </c>
    </row>
    <row r="359" spans="1:2" x14ac:dyDescent="0.2">
      <c r="A359" s="254" t="s">
        <v>2154</v>
      </c>
      <c r="B359" s="254" t="s">
        <v>2362</v>
      </c>
    </row>
    <row r="360" spans="1:2" x14ac:dyDescent="0.2">
      <c r="A360" s="254" t="s">
        <v>2155</v>
      </c>
      <c r="B360" s="254" t="s">
        <v>2363</v>
      </c>
    </row>
    <row r="361" spans="1:2" x14ac:dyDescent="0.2">
      <c r="A361" s="254" t="s">
        <v>2156</v>
      </c>
      <c r="B361" s="254" t="s">
        <v>2364</v>
      </c>
    </row>
    <row r="362" spans="1:2" x14ac:dyDescent="0.2">
      <c r="A362" s="254" t="s">
        <v>2157</v>
      </c>
      <c r="B362" s="254" t="s">
        <v>2365</v>
      </c>
    </row>
    <row r="363" spans="1:2" x14ac:dyDescent="0.2">
      <c r="A363" s="254" t="s">
        <v>2158</v>
      </c>
      <c r="B363" s="254" t="s">
        <v>2366</v>
      </c>
    </row>
    <row r="364" spans="1:2" x14ac:dyDescent="0.2">
      <c r="A364" s="254" t="s">
        <v>2159</v>
      </c>
      <c r="B364" s="254" t="s">
        <v>2367</v>
      </c>
    </row>
    <row r="365" spans="1:2" x14ac:dyDescent="0.2">
      <c r="A365" s="254" t="s">
        <v>2160</v>
      </c>
      <c r="B365" s="254" t="s">
        <v>2368</v>
      </c>
    </row>
    <row r="366" spans="1:2" x14ac:dyDescent="0.2">
      <c r="A366" s="254" t="s">
        <v>2161</v>
      </c>
      <c r="B366" s="254" t="s">
        <v>2381</v>
      </c>
    </row>
    <row r="367" spans="1:2" x14ac:dyDescent="0.2">
      <c r="A367" s="254" t="s">
        <v>2372</v>
      </c>
      <c r="B367" s="254" t="s">
        <v>2382</v>
      </c>
    </row>
    <row r="368" spans="1:2" x14ac:dyDescent="0.2">
      <c r="A368" s="254" t="s">
        <v>2373</v>
      </c>
      <c r="B368" s="254" t="s">
        <v>2383</v>
      </c>
    </row>
    <row r="369" spans="1:2" x14ac:dyDescent="0.2">
      <c r="A369" s="254" t="s">
        <v>2374</v>
      </c>
      <c r="B369" s="254" t="s">
        <v>2384</v>
      </c>
    </row>
    <row r="370" spans="1:2" x14ac:dyDescent="0.2">
      <c r="A370" s="254" t="s">
        <v>2375</v>
      </c>
      <c r="B370" s="254" t="s">
        <v>2385</v>
      </c>
    </row>
    <row r="371" spans="1:2" x14ac:dyDescent="0.2">
      <c r="A371" s="254" t="s">
        <v>2376</v>
      </c>
      <c r="B371" s="254" t="s">
        <v>2386</v>
      </c>
    </row>
    <row r="372" spans="1:2" x14ac:dyDescent="0.2">
      <c r="A372" s="254" t="s">
        <v>1995</v>
      </c>
      <c r="B372" s="254" t="s">
        <v>1994</v>
      </c>
    </row>
    <row r="373" spans="1:2" x14ac:dyDescent="0.2">
      <c r="A373" s="254" t="s">
        <v>1997</v>
      </c>
      <c r="B373" s="254" t="s">
        <v>1996</v>
      </c>
    </row>
    <row r="374" spans="1:2" x14ac:dyDescent="0.2">
      <c r="A374" s="254" t="s">
        <v>2034</v>
      </c>
      <c r="B374" s="254" t="s">
        <v>1690</v>
      </c>
    </row>
    <row r="375" spans="1:2" x14ac:dyDescent="0.2">
      <c r="A375" s="254" t="s">
        <v>2033</v>
      </c>
      <c r="B375" s="254" t="s">
        <v>1691</v>
      </c>
    </row>
    <row r="376" spans="1:2" x14ac:dyDescent="0.2">
      <c r="A376" s="254" t="s">
        <v>1692</v>
      </c>
      <c r="B376" s="254" t="s">
        <v>1693</v>
      </c>
    </row>
    <row r="377" spans="1:2" x14ac:dyDescent="0.2">
      <c r="A377" s="254" t="s">
        <v>1694</v>
      </c>
      <c r="B377" s="254" t="s">
        <v>2032</v>
      </c>
    </row>
    <row r="378" spans="1:2" x14ac:dyDescent="0.2">
      <c r="A378" s="254" t="s">
        <v>1695</v>
      </c>
      <c r="B378" s="254" t="s">
        <v>1696</v>
      </c>
    </row>
    <row r="379" spans="1:2" x14ac:dyDescent="0.2">
      <c r="A379" s="254" t="s">
        <v>1697</v>
      </c>
      <c r="B379" s="254" t="s">
        <v>1698</v>
      </c>
    </row>
    <row r="380" spans="1:2" x14ac:dyDescent="0.2">
      <c r="A380" s="254" t="s">
        <v>1699</v>
      </c>
      <c r="B380" s="254" t="s">
        <v>1700</v>
      </c>
    </row>
    <row r="381" spans="1:2" x14ac:dyDescent="0.2">
      <c r="A381" s="254" t="s">
        <v>1701</v>
      </c>
      <c r="B381" s="254" t="s">
        <v>2035</v>
      </c>
    </row>
    <row r="382" spans="1:2" x14ac:dyDescent="0.2">
      <c r="A382" s="254" t="s">
        <v>1702</v>
      </c>
      <c r="B382" s="254" t="s">
        <v>1703</v>
      </c>
    </row>
    <row r="383" spans="1:2" x14ac:dyDescent="0.2">
      <c r="A383" s="254" t="s">
        <v>1704</v>
      </c>
      <c r="B383" s="254" t="s">
        <v>1705</v>
      </c>
    </row>
    <row r="384" spans="1:2" x14ac:dyDescent="0.2">
      <c r="B384" s="254" t="s">
        <v>1134</v>
      </c>
    </row>
    <row r="385" spans="2:2" x14ac:dyDescent="0.2">
      <c r="B385" s="254" t="s">
        <v>2369</v>
      </c>
    </row>
    <row r="386" spans="2:2" x14ac:dyDescent="0.2">
      <c r="B386" s="254" t="s">
        <v>1398</v>
      </c>
    </row>
    <row r="387" spans="2:2" x14ac:dyDescent="0.2">
      <c r="B387" s="254" t="s">
        <v>1292</v>
      </c>
    </row>
    <row r="388" spans="2:2" x14ac:dyDescent="0.2">
      <c r="B388" s="254" t="s">
        <v>1192</v>
      </c>
    </row>
    <row r="389" spans="2:2" x14ac:dyDescent="0.2">
      <c r="B389" s="254" t="s">
        <v>926</v>
      </c>
    </row>
    <row r="390" spans="2:2" x14ac:dyDescent="0.2">
      <c r="B390" s="254" t="s">
        <v>1279</v>
      </c>
    </row>
    <row r="391" spans="2:2" x14ac:dyDescent="0.2">
      <c r="B391" s="254" t="s">
        <v>1298</v>
      </c>
    </row>
    <row r="392" spans="2:2" x14ac:dyDescent="0.2">
      <c r="B392" s="254" t="s">
        <v>1113</v>
      </c>
    </row>
    <row r="393" spans="2:2" x14ac:dyDescent="0.2">
      <c r="B393" s="254" t="s">
        <v>1112</v>
      </c>
    </row>
    <row r="394" spans="2:2" x14ac:dyDescent="0.2">
      <c r="B394" s="254" t="s">
        <v>1812</v>
      </c>
    </row>
    <row r="395" spans="2:2" x14ac:dyDescent="0.2">
      <c r="B395" s="254" t="s">
        <v>2004</v>
      </c>
    </row>
    <row r="396" spans="2:2" x14ac:dyDescent="0.2">
      <c r="B396" s="254" t="s">
        <v>2005</v>
      </c>
    </row>
    <row r="397" spans="2:2" x14ac:dyDescent="0.2">
      <c r="B397" s="254" t="s">
        <v>1175</v>
      </c>
    </row>
    <row r="398" spans="2:2" x14ac:dyDescent="0.2">
      <c r="B398" s="254" t="s">
        <v>1152</v>
      </c>
    </row>
    <row r="399" spans="2:2" x14ac:dyDescent="0.2">
      <c r="B399" s="254" t="s">
        <v>1744</v>
      </c>
    </row>
    <row r="400" spans="2:2" x14ac:dyDescent="0.2">
      <c r="B400" s="254" t="s">
        <v>1120</v>
      </c>
    </row>
    <row r="401" spans="2:2" x14ac:dyDescent="0.2">
      <c r="B401" s="254" t="s">
        <v>1235</v>
      </c>
    </row>
    <row r="402" spans="2:2" x14ac:dyDescent="0.2">
      <c r="B402" s="254" t="s">
        <v>1243</v>
      </c>
    </row>
  </sheetData>
  <sheetProtection autoFilter="0"/>
  <autoFilter ref="A1:B1" xr:uid="{7E6BE258-0FB2-4CCD-80A0-855A3168117C}">
    <sortState xmlns:xlrd2="http://schemas.microsoft.com/office/spreadsheetml/2017/richdata2" ref="A2:B1">
      <sortCondition ref="A1"/>
    </sortState>
  </autoFilter>
  <sortState xmlns:xlrd2="http://schemas.microsoft.com/office/spreadsheetml/2017/richdata2" ref="A2:B384">
    <sortCondition ref="A1:A384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4C1A1-6396-44C3-9BDA-FD9E99AC3EE0}">
  <dimension ref="A1:H28"/>
  <sheetViews>
    <sheetView showGridLines="0" topLeftCell="A4" workbookViewId="0">
      <selection activeCell="A29" sqref="A29"/>
    </sheetView>
  </sheetViews>
  <sheetFormatPr baseColWidth="10" defaultColWidth="10.7109375" defaultRowHeight="15" x14ac:dyDescent="0.25"/>
  <cols>
    <col min="2" max="2" width="47.7109375" bestFit="1" customWidth="1"/>
    <col min="7" max="7" width="6" customWidth="1"/>
    <col min="8" max="8" width="10.7109375" hidden="1" customWidth="1"/>
    <col min="9" max="9" width="47.85546875" customWidth="1"/>
  </cols>
  <sheetData>
    <row r="1" spans="1:2" x14ac:dyDescent="0.25">
      <c r="A1" s="3" t="s">
        <v>7</v>
      </c>
      <c r="B1" s="3" t="s">
        <v>1014</v>
      </c>
    </row>
    <row r="2" spans="1:2" x14ac:dyDescent="0.25">
      <c r="A2" s="70" t="s">
        <v>2034</v>
      </c>
      <c r="B2" s="70" t="s">
        <v>1690</v>
      </c>
    </row>
    <row r="3" spans="1:2" x14ac:dyDescent="0.25">
      <c r="A3" s="70" t="s">
        <v>2033</v>
      </c>
      <c r="B3" s="70" t="s">
        <v>1691</v>
      </c>
    </row>
    <row r="4" spans="1:2" x14ac:dyDescent="0.25">
      <c r="A4" s="70" t="s">
        <v>1692</v>
      </c>
      <c r="B4" s="70" t="s">
        <v>1693</v>
      </c>
    </row>
    <row r="5" spans="1:2" x14ac:dyDescent="0.25">
      <c r="A5" s="70" t="s">
        <v>1694</v>
      </c>
      <c r="B5" s="70" t="s">
        <v>2032</v>
      </c>
    </row>
    <row r="6" spans="1:2" x14ac:dyDescent="0.25">
      <c r="A6" s="70" t="s">
        <v>1695</v>
      </c>
      <c r="B6" s="70" t="s">
        <v>1696</v>
      </c>
    </row>
    <row r="7" spans="1:2" x14ac:dyDescent="0.25">
      <c r="A7" s="70" t="s">
        <v>1697</v>
      </c>
      <c r="B7" s="70" t="s">
        <v>1698</v>
      </c>
    </row>
    <row r="8" spans="1:2" x14ac:dyDescent="0.25">
      <c r="A8" s="206" t="s">
        <v>1701</v>
      </c>
      <c r="B8" s="70" t="s">
        <v>2035</v>
      </c>
    </row>
    <row r="9" spans="1:2" x14ac:dyDescent="0.25">
      <c r="A9" s="206" t="s">
        <v>1699</v>
      </c>
      <c r="B9" s="70" t="s">
        <v>1700</v>
      </c>
    </row>
    <row r="10" spans="1:2" x14ac:dyDescent="0.25">
      <c r="A10" s="206" t="s">
        <v>1702</v>
      </c>
      <c r="B10" s="70" t="s">
        <v>1703</v>
      </c>
    </row>
    <row r="11" spans="1:2" x14ac:dyDescent="0.25">
      <c r="A11" s="206" t="s">
        <v>1704</v>
      </c>
      <c r="B11" s="70" t="s">
        <v>1705</v>
      </c>
    </row>
    <row r="12" spans="1:2" x14ac:dyDescent="0.25">
      <c r="A12" s="70" t="s">
        <v>1983</v>
      </c>
      <c r="B12" s="70" t="s">
        <v>2003</v>
      </c>
    </row>
    <row r="13" spans="1:2" x14ac:dyDescent="0.25">
      <c r="A13" s="70" t="s">
        <v>1015</v>
      </c>
      <c r="B13" s="70" t="s">
        <v>1707</v>
      </c>
    </row>
    <row r="14" spans="1:2" x14ac:dyDescent="0.25">
      <c r="A14" s="70" t="s">
        <v>1708</v>
      </c>
      <c r="B14" s="70" t="s">
        <v>1016</v>
      </c>
    </row>
    <row r="15" spans="1:2" x14ac:dyDescent="0.25">
      <c r="A15" s="70" t="s">
        <v>1984</v>
      </c>
      <c r="B15" s="70" t="s">
        <v>1712</v>
      </c>
    </row>
    <row r="16" spans="1:2" x14ac:dyDescent="0.25">
      <c r="A16" s="70" t="s">
        <v>1017</v>
      </c>
      <c r="B16" s="70" t="s">
        <v>1985</v>
      </c>
    </row>
    <row r="17" spans="1:2" x14ac:dyDescent="0.25">
      <c r="A17" s="70" t="s">
        <v>1987</v>
      </c>
      <c r="B17" s="70" t="s">
        <v>1711</v>
      </c>
    </row>
    <row r="18" spans="1:2" x14ac:dyDescent="0.25">
      <c r="A18" s="70" t="s">
        <v>1706</v>
      </c>
      <c r="B18" s="70" t="s">
        <v>1713</v>
      </c>
    </row>
    <row r="19" spans="1:2" x14ac:dyDescent="0.25">
      <c r="A19" s="70" t="s">
        <v>1986</v>
      </c>
      <c r="B19" s="70" t="s">
        <v>1714</v>
      </c>
    </row>
    <row r="20" spans="1:2" x14ac:dyDescent="0.25">
      <c r="A20" s="70" t="s">
        <v>1018</v>
      </c>
      <c r="B20" s="70" t="s">
        <v>1991</v>
      </c>
    </row>
    <row r="21" spans="1:2" x14ac:dyDescent="0.25">
      <c r="A21" s="70" t="s">
        <v>1993</v>
      </c>
      <c r="B21" s="70" t="s">
        <v>1992</v>
      </c>
    </row>
    <row r="22" spans="1:2" x14ac:dyDescent="0.25">
      <c r="A22" s="70" t="s">
        <v>1990</v>
      </c>
      <c r="B22" s="70" t="s">
        <v>1989</v>
      </c>
    </row>
    <row r="23" spans="1:2" x14ac:dyDescent="0.25">
      <c r="A23" s="70" t="s">
        <v>1988</v>
      </c>
      <c r="B23" s="70" t="s">
        <v>1709</v>
      </c>
    </row>
    <row r="24" spans="1:2" x14ac:dyDescent="0.25">
      <c r="A24" s="70" t="s">
        <v>2000</v>
      </c>
      <c r="B24" s="70" t="s">
        <v>1999</v>
      </c>
    </row>
    <row r="25" spans="1:2" x14ac:dyDescent="0.25">
      <c r="A25" s="70" t="s">
        <v>1019</v>
      </c>
      <c r="B25" s="70" t="s">
        <v>2001</v>
      </c>
    </row>
    <row r="26" spans="1:2" x14ac:dyDescent="0.25">
      <c r="A26" s="70" t="s">
        <v>1710</v>
      </c>
      <c r="B26" s="70" t="s">
        <v>1998</v>
      </c>
    </row>
    <row r="27" spans="1:2" x14ac:dyDescent="0.25">
      <c r="A27" s="70" t="s">
        <v>1995</v>
      </c>
      <c r="B27" s="70" t="s">
        <v>1994</v>
      </c>
    </row>
    <row r="28" spans="1:2" x14ac:dyDescent="0.25">
      <c r="A28" s="70" t="s">
        <v>1997</v>
      </c>
      <c r="B28" s="70" t="s">
        <v>1996</v>
      </c>
    </row>
  </sheetData>
  <autoFilter ref="A1:B1" xr:uid="{D134C1A1-6396-44C3-9BDA-FD9E99AC3EE0}">
    <sortState xmlns:xlrd2="http://schemas.microsoft.com/office/spreadsheetml/2017/richdata2" ref="A2:B25">
      <sortCondition ref="A1"/>
    </sortState>
  </autoFilter>
  <sortState xmlns:xlrd2="http://schemas.microsoft.com/office/spreadsheetml/2017/richdata2" ref="I14:J30">
    <sortCondition ref="J14:J30"/>
  </sortState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BF30F-7BCF-4A5C-80DC-A595CE6A3996}">
  <dimension ref="A1:H760"/>
  <sheetViews>
    <sheetView showGridLines="0" workbookViewId="0">
      <pane ySplit="1" topLeftCell="A740" activePane="bottomLeft" state="frozen"/>
      <selection pane="bottomLeft" activeCell="A760" sqref="A760:H760"/>
    </sheetView>
  </sheetViews>
  <sheetFormatPr baseColWidth="10" defaultColWidth="10.7109375" defaultRowHeight="15" x14ac:dyDescent="0.25"/>
  <cols>
    <col min="1" max="1" width="11.140625" style="287" customWidth="1"/>
    <col min="2" max="2" width="53.5703125" style="35" customWidth="1"/>
    <col min="3" max="3" width="11" style="36" customWidth="1"/>
    <col min="4" max="4" width="38.42578125" style="37" customWidth="1"/>
    <col min="5" max="5" width="33.28515625" style="37" customWidth="1"/>
    <col min="6" max="6" width="11" style="37" customWidth="1"/>
    <col min="7" max="7" width="13.42578125" style="36" customWidth="1"/>
    <col min="8" max="8" width="9.42578125" style="36" customWidth="1"/>
  </cols>
  <sheetData>
    <row r="1" spans="1:8" x14ac:dyDescent="0.25">
      <c r="A1" s="255" t="s">
        <v>1110</v>
      </c>
      <c r="B1" s="38" t="s">
        <v>861</v>
      </c>
      <c r="C1" s="39" t="s">
        <v>5</v>
      </c>
      <c r="D1" s="40" t="s">
        <v>1020</v>
      </c>
      <c r="E1" s="52" t="s">
        <v>1109</v>
      </c>
      <c r="F1" s="53" t="s">
        <v>13</v>
      </c>
      <c r="G1" s="54" t="s">
        <v>14</v>
      </c>
      <c r="H1" s="54" t="s">
        <v>15</v>
      </c>
    </row>
    <row r="2" spans="1:8" x14ac:dyDescent="0.25">
      <c r="A2" s="256" t="s">
        <v>1889</v>
      </c>
      <c r="B2" s="41" t="s">
        <v>1818</v>
      </c>
      <c r="C2" s="42" t="s">
        <v>551</v>
      </c>
      <c r="D2" s="43" t="s">
        <v>2565</v>
      </c>
      <c r="E2" s="47" t="s">
        <v>1819</v>
      </c>
      <c r="F2" s="149" t="s">
        <v>1724</v>
      </c>
      <c r="G2" s="137" t="s">
        <v>37</v>
      </c>
      <c r="H2" s="137">
        <v>2024</v>
      </c>
    </row>
    <row r="3" spans="1:8" x14ac:dyDescent="0.25">
      <c r="A3" s="257" t="s">
        <v>1887</v>
      </c>
      <c r="B3" s="41" t="s">
        <v>1818</v>
      </c>
      <c r="C3" s="42" t="s">
        <v>551</v>
      </c>
      <c r="D3" s="43" t="s">
        <v>2566</v>
      </c>
      <c r="E3" s="59" t="s">
        <v>1819</v>
      </c>
      <c r="F3" s="55" t="s">
        <v>1724</v>
      </c>
      <c r="G3" s="42" t="s">
        <v>37</v>
      </c>
      <c r="H3" s="42">
        <v>2024</v>
      </c>
    </row>
    <row r="4" spans="1:8" x14ac:dyDescent="0.25">
      <c r="A4" s="257" t="s">
        <v>1888</v>
      </c>
      <c r="B4" s="41" t="s">
        <v>1818</v>
      </c>
      <c r="C4" s="42" t="s">
        <v>551</v>
      </c>
      <c r="D4" s="43" t="s">
        <v>2567</v>
      </c>
      <c r="E4" s="47" t="s">
        <v>1819</v>
      </c>
      <c r="F4" s="55" t="s">
        <v>1724</v>
      </c>
      <c r="G4" s="42" t="s">
        <v>37</v>
      </c>
      <c r="H4" s="42">
        <v>2024</v>
      </c>
    </row>
    <row r="5" spans="1:8" x14ac:dyDescent="0.25">
      <c r="A5" s="257" t="s">
        <v>1886</v>
      </c>
      <c r="B5" s="41" t="s">
        <v>1818</v>
      </c>
      <c r="C5" s="42" t="s">
        <v>551</v>
      </c>
      <c r="D5" s="43" t="s">
        <v>2568</v>
      </c>
      <c r="E5" s="59" t="s">
        <v>1819</v>
      </c>
      <c r="F5" s="55" t="s">
        <v>1724</v>
      </c>
      <c r="G5" s="42" t="s">
        <v>37</v>
      </c>
      <c r="H5" s="42">
        <v>2024</v>
      </c>
    </row>
    <row r="6" spans="1:8" x14ac:dyDescent="0.25">
      <c r="A6" s="257" t="s">
        <v>1885</v>
      </c>
      <c r="B6" s="41" t="s">
        <v>1818</v>
      </c>
      <c r="C6" s="42" t="s">
        <v>551</v>
      </c>
      <c r="D6" s="43" t="s">
        <v>2569</v>
      </c>
      <c r="E6" s="47" t="s">
        <v>1819</v>
      </c>
      <c r="F6" s="55" t="s">
        <v>1724</v>
      </c>
      <c r="G6" s="42" t="s">
        <v>37</v>
      </c>
      <c r="H6" s="42">
        <v>2024</v>
      </c>
    </row>
    <row r="7" spans="1:8" x14ac:dyDescent="0.25">
      <c r="A7" s="257" t="s">
        <v>1890</v>
      </c>
      <c r="B7" s="41" t="s">
        <v>1818</v>
      </c>
      <c r="C7" s="42" t="s">
        <v>551</v>
      </c>
      <c r="D7" s="43" t="s">
        <v>2570</v>
      </c>
      <c r="E7" s="47" t="s">
        <v>1819</v>
      </c>
      <c r="F7" s="55" t="s">
        <v>1724</v>
      </c>
      <c r="G7" s="42" t="s">
        <v>37</v>
      </c>
      <c r="H7" s="42">
        <v>2024</v>
      </c>
    </row>
    <row r="8" spans="1:8" x14ac:dyDescent="0.25">
      <c r="A8" s="257" t="s">
        <v>1936</v>
      </c>
      <c r="B8" s="41" t="s">
        <v>1818</v>
      </c>
      <c r="C8" s="42" t="s">
        <v>551</v>
      </c>
      <c r="D8" s="43" t="s">
        <v>2571</v>
      </c>
      <c r="E8" s="59" t="s">
        <v>1819</v>
      </c>
      <c r="F8" s="55" t="s">
        <v>1724</v>
      </c>
      <c r="G8" s="42" t="s">
        <v>24</v>
      </c>
      <c r="H8" s="42">
        <v>2025</v>
      </c>
    </row>
    <row r="9" spans="1:8" x14ac:dyDescent="0.25">
      <c r="A9" s="257" t="s">
        <v>1854</v>
      </c>
      <c r="B9" s="41" t="s">
        <v>1759</v>
      </c>
      <c r="C9" s="42" t="s">
        <v>1760</v>
      </c>
      <c r="D9" s="43" t="s">
        <v>2572</v>
      </c>
      <c r="E9" s="47" t="s">
        <v>2534</v>
      </c>
      <c r="F9" s="55" t="s">
        <v>1725</v>
      </c>
      <c r="G9" s="42" t="s">
        <v>24</v>
      </c>
      <c r="H9" s="42">
        <v>2024</v>
      </c>
    </row>
    <row r="10" spans="1:8" x14ac:dyDescent="0.25">
      <c r="A10" s="257" t="s">
        <v>1528</v>
      </c>
      <c r="B10" s="41" t="s">
        <v>36</v>
      </c>
      <c r="C10" s="42" t="s">
        <v>352</v>
      </c>
      <c r="D10" s="43" t="s">
        <v>910</v>
      </c>
      <c r="E10" s="59" t="s">
        <v>1268</v>
      </c>
      <c r="F10" s="55" t="s">
        <v>1724</v>
      </c>
      <c r="G10" s="42" t="s">
        <v>37</v>
      </c>
      <c r="H10" s="42">
        <v>2019</v>
      </c>
    </row>
    <row r="11" spans="1:8" x14ac:dyDescent="0.25">
      <c r="A11" s="257" t="s">
        <v>1529</v>
      </c>
      <c r="B11" s="41" t="s">
        <v>36</v>
      </c>
      <c r="C11" s="42" t="s">
        <v>352</v>
      </c>
      <c r="D11" s="43" t="s">
        <v>910</v>
      </c>
      <c r="E11" s="59" t="s">
        <v>1268</v>
      </c>
      <c r="F11" s="55" t="s">
        <v>1724</v>
      </c>
      <c r="G11" s="42" t="s">
        <v>37</v>
      </c>
      <c r="H11" s="42">
        <v>2019</v>
      </c>
    </row>
    <row r="12" spans="1:8" x14ac:dyDescent="0.25">
      <c r="A12" s="257">
        <v>235253</v>
      </c>
      <c r="B12" s="41" t="s">
        <v>1816</v>
      </c>
      <c r="C12" s="42" t="s">
        <v>1044</v>
      </c>
      <c r="D12" s="43" t="s">
        <v>2573</v>
      </c>
      <c r="E12" s="59" t="s">
        <v>1830</v>
      </c>
      <c r="F12" s="55" t="s">
        <v>1831</v>
      </c>
      <c r="G12" s="42" t="s">
        <v>1832</v>
      </c>
      <c r="H12" s="42">
        <v>2025</v>
      </c>
    </row>
    <row r="13" spans="1:8" x14ac:dyDescent="0.25">
      <c r="A13" s="175">
        <v>217791</v>
      </c>
      <c r="B13" s="41" t="s">
        <v>39</v>
      </c>
      <c r="C13" s="138" t="s">
        <v>354</v>
      </c>
      <c r="D13" s="150" t="s">
        <v>2574</v>
      </c>
      <c r="E13" s="151"/>
      <c r="F13" s="55" t="s">
        <v>1732</v>
      </c>
      <c r="G13" s="138" t="s">
        <v>926</v>
      </c>
      <c r="H13" s="138">
        <v>2009</v>
      </c>
    </row>
    <row r="14" spans="1:8" x14ac:dyDescent="0.25">
      <c r="A14" s="175">
        <v>228660</v>
      </c>
      <c r="B14" s="41" t="s">
        <v>1101</v>
      </c>
      <c r="C14" s="42" t="s">
        <v>356</v>
      </c>
      <c r="D14" s="43" t="s">
        <v>2574</v>
      </c>
      <c r="E14" s="59" t="s">
        <v>1400</v>
      </c>
      <c r="F14" s="55" t="s">
        <v>1742</v>
      </c>
      <c r="G14" s="42" t="s">
        <v>926</v>
      </c>
      <c r="H14" s="42">
        <v>2017</v>
      </c>
    </row>
    <row r="15" spans="1:8" x14ac:dyDescent="0.25">
      <c r="A15" s="257">
        <v>228661</v>
      </c>
      <c r="B15" s="41" t="s">
        <v>1101</v>
      </c>
      <c r="C15" s="42" t="s">
        <v>356</v>
      </c>
      <c r="D15" s="43" t="s">
        <v>2574</v>
      </c>
      <c r="E15" s="59" t="s">
        <v>1400</v>
      </c>
      <c r="F15" s="55" t="s">
        <v>1742</v>
      </c>
      <c r="G15" s="42" t="s">
        <v>926</v>
      </c>
      <c r="H15" s="42">
        <v>2017</v>
      </c>
    </row>
    <row r="16" spans="1:8" x14ac:dyDescent="0.25">
      <c r="A16" s="257" t="s">
        <v>240</v>
      </c>
      <c r="B16" s="41" t="s">
        <v>239</v>
      </c>
      <c r="C16" s="42" t="s">
        <v>542</v>
      </c>
      <c r="D16" s="43" t="s">
        <v>2574</v>
      </c>
      <c r="E16" s="59" t="s">
        <v>1640</v>
      </c>
      <c r="F16" s="55" t="s">
        <v>1732</v>
      </c>
      <c r="G16" s="42" t="s">
        <v>24</v>
      </c>
      <c r="H16" s="42">
        <v>2021</v>
      </c>
    </row>
    <row r="17" spans="1:8" x14ac:dyDescent="0.25">
      <c r="A17" s="175" t="s">
        <v>270</v>
      </c>
      <c r="B17" s="41" t="s">
        <v>1066</v>
      </c>
      <c r="C17" s="42" t="s">
        <v>554</v>
      </c>
      <c r="D17" s="43" t="s">
        <v>2574</v>
      </c>
      <c r="E17" s="59" t="s">
        <v>1308</v>
      </c>
      <c r="F17" s="55" t="s">
        <v>1725</v>
      </c>
      <c r="G17" s="127" t="s">
        <v>24</v>
      </c>
      <c r="H17" s="42">
        <v>2021</v>
      </c>
    </row>
    <row r="18" spans="1:8" x14ac:dyDescent="0.25">
      <c r="A18" s="257" t="s">
        <v>1307</v>
      </c>
      <c r="B18" s="41" t="s">
        <v>43</v>
      </c>
      <c r="C18" s="42" t="s">
        <v>363</v>
      </c>
      <c r="D18" s="43" t="s">
        <v>2574</v>
      </c>
      <c r="E18" s="59" t="s">
        <v>1306</v>
      </c>
      <c r="F18" s="55" t="s">
        <v>1724</v>
      </c>
      <c r="G18" s="42" t="s">
        <v>260</v>
      </c>
      <c r="H18" s="42">
        <v>2023</v>
      </c>
    </row>
    <row r="19" spans="1:8" x14ac:dyDescent="0.25">
      <c r="A19" s="175" t="s">
        <v>1966</v>
      </c>
      <c r="B19" s="41" t="s">
        <v>43</v>
      </c>
      <c r="C19" s="42" t="s">
        <v>363</v>
      </c>
      <c r="D19" s="43" t="s">
        <v>2574</v>
      </c>
      <c r="E19" s="59" t="s">
        <v>1306</v>
      </c>
      <c r="F19" s="55" t="s">
        <v>1724</v>
      </c>
      <c r="G19" s="127" t="s">
        <v>1113</v>
      </c>
      <c r="H19" s="42">
        <v>2011</v>
      </c>
    </row>
    <row r="20" spans="1:8" x14ac:dyDescent="0.25">
      <c r="A20" s="257" t="s">
        <v>1966</v>
      </c>
      <c r="B20" s="41" t="s">
        <v>43</v>
      </c>
      <c r="C20" s="42" t="s">
        <v>363</v>
      </c>
      <c r="D20" s="43" t="s">
        <v>2574</v>
      </c>
      <c r="E20" s="59" t="s">
        <v>1306</v>
      </c>
      <c r="F20" s="55" t="s">
        <v>1724</v>
      </c>
      <c r="G20" s="42" t="s">
        <v>1113</v>
      </c>
      <c r="H20" s="42">
        <v>2013</v>
      </c>
    </row>
    <row r="21" spans="1:8" x14ac:dyDescent="0.25">
      <c r="A21" s="175">
        <v>227317</v>
      </c>
      <c r="B21" s="41" t="s">
        <v>2403</v>
      </c>
      <c r="C21" s="42" t="s">
        <v>408</v>
      </c>
      <c r="D21" s="43" t="s">
        <v>2574</v>
      </c>
      <c r="E21" s="59" t="s">
        <v>1177</v>
      </c>
      <c r="F21" s="55" t="s">
        <v>1732</v>
      </c>
      <c r="G21" s="127" t="s">
        <v>886</v>
      </c>
      <c r="H21" s="42">
        <v>2016</v>
      </c>
    </row>
    <row r="22" spans="1:8" x14ac:dyDescent="0.25">
      <c r="A22" s="175">
        <v>228696</v>
      </c>
      <c r="B22" s="41" t="s">
        <v>2403</v>
      </c>
      <c r="C22" s="42" t="s">
        <v>408</v>
      </c>
      <c r="D22" s="43" t="s">
        <v>2574</v>
      </c>
      <c r="E22" s="59" t="s">
        <v>1177</v>
      </c>
      <c r="F22" s="55" t="s">
        <v>1732</v>
      </c>
      <c r="G22" s="127" t="s">
        <v>926</v>
      </c>
      <c r="H22" s="42">
        <v>2017</v>
      </c>
    </row>
    <row r="23" spans="1:8" x14ac:dyDescent="0.25">
      <c r="A23" s="257">
        <v>228716</v>
      </c>
      <c r="B23" s="41" t="s">
        <v>2403</v>
      </c>
      <c r="C23" s="42" t="s">
        <v>408</v>
      </c>
      <c r="D23" s="43" t="s">
        <v>2574</v>
      </c>
      <c r="E23" s="59" t="s">
        <v>1177</v>
      </c>
      <c r="F23" s="55" t="s">
        <v>1732</v>
      </c>
      <c r="G23" s="42" t="s">
        <v>926</v>
      </c>
      <c r="H23" s="42">
        <v>2016</v>
      </c>
    </row>
    <row r="24" spans="1:8" x14ac:dyDescent="0.25">
      <c r="A24" s="257">
        <v>230037</v>
      </c>
      <c r="B24" s="41" t="s">
        <v>2403</v>
      </c>
      <c r="C24" s="42" t="s">
        <v>408</v>
      </c>
      <c r="D24" s="43" t="s">
        <v>2574</v>
      </c>
      <c r="E24" s="59" t="s">
        <v>1177</v>
      </c>
      <c r="F24" s="55" t="s">
        <v>1732</v>
      </c>
      <c r="G24" s="42" t="s">
        <v>926</v>
      </c>
      <c r="H24" s="42">
        <v>2018</v>
      </c>
    </row>
    <row r="25" spans="1:8" x14ac:dyDescent="0.25">
      <c r="A25" s="175" t="s">
        <v>212</v>
      </c>
      <c r="B25" s="152" t="s">
        <v>2403</v>
      </c>
      <c r="C25" s="138" t="s">
        <v>408</v>
      </c>
      <c r="D25" s="150" t="s">
        <v>2574</v>
      </c>
      <c r="E25" s="153" t="s">
        <v>1177</v>
      </c>
      <c r="F25" s="140" t="s">
        <v>1732</v>
      </c>
      <c r="G25" s="138" t="s">
        <v>24</v>
      </c>
      <c r="H25" s="138">
        <v>2020</v>
      </c>
    </row>
    <row r="26" spans="1:8" x14ac:dyDescent="0.25">
      <c r="A26" s="257" t="s">
        <v>213</v>
      </c>
      <c r="B26" s="41" t="s">
        <v>2403</v>
      </c>
      <c r="C26" s="42" t="s">
        <v>408</v>
      </c>
      <c r="D26" s="43" t="s">
        <v>2574</v>
      </c>
      <c r="E26" s="47" t="s">
        <v>1177</v>
      </c>
      <c r="F26" s="55" t="s">
        <v>1742</v>
      </c>
      <c r="G26" s="42" t="s">
        <v>24</v>
      </c>
      <c r="H26" s="42">
        <v>2020</v>
      </c>
    </row>
    <row r="27" spans="1:8" x14ac:dyDescent="0.25">
      <c r="A27" s="257" t="s">
        <v>218</v>
      </c>
      <c r="B27" s="41" t="s">
        <v>2403</v>
      </c>
      <c r="C27" s="42" t="s">
        <v>408</v>
      </c>
      <c r="D27" s="43" t="s">
        <v>2574</v>
      </c>
      <c r="E27" s="47" t="s">
        <v>1177</v>
      </c>
      <c r="F27" s="55" t="s">
        <v>1732</v>
      </c>
      <c r="G27" s="42" t="s">
        <v>24</v>
      </c>
      <c r="H27" s="42">
        <v>2020</v>
      </c>
    </row>
    <row r="28" spans="1:8" x14ac:dyDescent="0.25">
      <c r="A28" s="257" t="s">
        <v>1416</v>
      </c>
      <c r="B28" s="41" t="s">
        <v>2403</v>
      </c>
      <c r="C28" s="42" t="s">
        <v>408</v>
      </c>
      <c r="D28" s="43" t="s">
        <v>2574</v>
      </c>
      <c r="E28" s="47" t="s">
        <v>1177</v>
      </c>
      <c r="F28" s="55" t="s">
        <v>1732</v>
      </c>
      <c r="G28" s="42" t="s">
        <v>24</v>
      </c>
      <c r="H28" s="42">
        <v>2023</v>
      </c>
    </row>
    <row r="29" spans="1:8" x14ac:dyDescent="0.25">
      <c r="A29" s="175" t="s">
        <v>2387</v>
      </c>
      <c r="B29" s="152" t="s">
        <v>22</v>
      </c>
      <c r="C29" s="138" t="s">
        <v>330</v>
      </c>
      <c r="D29" s="150" t="s">
        <v>2574</v>
      </c>
      <c r="E29" s="153" t="s">
        <v>2535</v>
      </c>
      <c r="F29" s="140" t="s">
        <v>1731</v>
      </c>
      <c r="G29" s="138" t="s">
        <v>1680</v>
      </c>
      <c r="H29" s="138">
        <v>2025</v>
      </c>
    </row>
    <row r="30" spans="1:8" x14ac:dyDescent="0.25">
      <c r="A30" s="258" t="s">
        <v>1921</v>
      </c>
      <c r="B30" s="44" t="s">
        <v>1733</v>
      </c>
      <c r="C30" s="45" t="s">
        <v>1577</v>
      </c>
      <c r="D30" s="46" t="s">
        <v>2575</v>
      </c>
      <c r="E30" s="56" t="s">
        <v>1618</v>
      </c>
      <c r="F30" s="57" t="s">
        <v>1725</v>
      </c>
      <c r="G30" s="45" t="s">
        <v>260</v>
      </c>
      <c r="H30" s="45">
        <v>2023</v>
      </c>
    </row>
    <row r="31" spans="1:8" x14ac:dyDescent="0.25">
      <c r="A31" s="258" t="s">
        <v>1924</v>
      </c>
      <c r="B31" s="44" t="s">
        <v>1939</v>
      </c>
      <c r="C31" s="45" t="s">
        <v>1577</v>
      </c>
      <c r="D31" s="46" t="s">
        <v>2575</v>
      </c>
      <c r="E31" s="56" t="s">
        <v>1618</v>
      </c>
      <c r="F31" s="57" t="s">
        <v>1725</v>
      </c>
      <c r="G31" s="45" t="s">
        <v>260</v>
      </c>
      <c r="H31" s="45">
        <v>2024</v>
      </c>
    </row>
    <row r="32" spans="1:8" x14ac:dyDescent="0.25">
      <c r="A32" s="258" t="s">
        <v>1853</v>
      </c>
      <c r="B32" s="44" t="s">
        <v>1755</v>
      </c>
      <c r="C32" s="45" t="s">
        <v>2525</v>
      </c>
      <c r="D32" s="46" t="s">
        <v>2575</v>
      </c>
      <c r="E32" s="56" t="s">
        <v>2536</v>
      </c>
      <c r="F32" s="57" t="s">
        <v>1725</v>
      </c>
      <c r="G32" s="45" t="s">
        <v>260</v>
      </c>
      <c r="H32" s="45">
        <v>2024</v>
      </c>
    </row>
    <row r="33" spans="1:8" x14ac:dyDescent="0.25">
      <c r="A33" s="258">
        <v>227135</v>
      </c>
      <c r="B33" s="44" t="s">
        <v>2404</v>
      </c>
      <c r="C33" s="45" t="s">
        <v>2526</v>
      </c>
      <c r="D33" s="46" t="s">
        <v>2576</v>
      </c>
      <c r="E33" s="56" t="s">
        <v>1630</v>
      </c>
      <c r="F33" s="57" t="s">
        <v>1731</v>
      </c>
      <c r="G33" s="45" t="s">
        <v>926</v>
      </c>
      <c r="H33" s="45">
        <v>2016</v>
      </c>
    </row>
    <row r="34" spans="1:8" x14ac:dyDescent="0.25">
      <c r="A34" s="257" t="s">
        <v>198</v>
      </c>
      <c r="B34" s="41" t="s">
        <v>197</v>
      </c>
      <c r="C34" s="42" t="s">
        <v>528</v>
      </c>
      <c r="D34" s="43" t="s">
        <v>895</v>
      </c>
      <c r="E34" s="47" t="s">
        <v>1408</v>
      </c>
      <c r="F34" s="55" t="s">
        <v>1732</v>
      </c>
      <c r="G34" s="42" t="s">
        <v>24</v>
      </c>
      <c r="H34" s="42">
        <v>2020</v>
      </c>
    </row>
    <row r="35" spans="1:8" x14ac:dyDescent="0.25">
      <c r="A35" s="257">
        <v>220293</v>
      </c>
      <c r="B35" s="41" t="s">
        <v>80</v>
      </c>
      <c r="C35" s="42" t="s">
        <v>406</v>
      </c>
      <c r="D35" s="43" t="s">
        <v>895</v>
      </c>
      <c r="E35" s="59" t="s">
        <v>1140</v>
      </c>
      <c r="F35" s="55" t="s">
        <v>1828</v>
      </c>
      <c r="G35" s="42" t="s">
        <v>926</v>
      </c>
      <c r="H35" s="42">
        <v>2010</v>
      </c>
    </row>
    <row r="36" spans="1:8" x14ac:dyDescent="0.25">
      <c r="A36" s="257">
        <v>217447</v>
      </c>
      <c r="B36" s="41" t="s">
        <v>79</v>
      </c>
      <c r="C36" s="42" t="s">
        <v>405</v>
      </c>
      <c r="D36" s="43" t="s">
        <v>915</v>
      </c>
      <c r="E36" s="59" t="s">
        <v>1295</v>
      </c>
      <c r="F36" s="55" t="s">
        <v>1732</v>
      </c>
      <c r="G36" s="42" t="s">
        <v>926</v>
      </c>
      <c r="H36" s="42">
        <v>2009</v>
      </c>
    </row>
    <row r="37" spans="1:8" x14ac:dyDescent="0.25">
      <c r="A37" s="175">
        <v>230048</v>
      </c>
      <c r="B37" s="152" t="s">
        <v>79</v>
      </c>
      <c r="C37" s="138" t="s">
        <v>405</v>
      </c>
      <c r="D37" s="150" t="s">
        <v>915</v>
      </c>
      <c r="E37" s="153" t="s">
        <v>1295</v>
      </c>
      <c r="F37" s="140" t="s">
        <v>1732</v>
      </c>
      <c r="G37" s="138" t="s">
        <v>926</v>
      </c>
      <c r="H37" s="138">
        <v>2018</v>
      </c>
    </row>
    <row r="38" spans="1:8" x14ac:dyDescent="0.25">
      <c r="A38" s="175" t="s">
        <v>217</v>
      </c>
      <c r="B38" s="152" t="s">
        <v>216</v>
      </c>
      <c r="C38" s="138" t="s">
        <v>536</v>
      </c>
      <c r="D38" s="150" t="s">
        <v>1026</v>
      </c>
      <c r="E38" s="153"/>
      <c r="F38" s="140" t="s">
        <v>1725</v>
      </c>
      <c r="G38" s="138" t="s">
        <v>24</v>
      </c>
      <c r="H38" s="138">
        <v>2020</v>
      </c>
    </row>
    <row r="39" spans="1:8" x14ac:dyDescent="0.25">
      <c r="A39" s="175" t="s">
        <v>215</v>
      </c>
      <c r="B39" s="152" t="s">
        <v>214</v>
      </c>
      <c r="C39" s="138" t="s">
        <v>535</v>
      </c>
      <c r="D39" s="150" t="s">
        <v>1026</v>
      </c>
      <c r="E39" s="153" t="s">
        <v>1403</v>
      </c>
      <c r="F39" s="55" t="s">
        <v>1725</v>
      </c>
      <c r="G39" s="42" t="s">
        <v>24</v>
      </c>
      <c r="H39" s="138">
        <v>2020</v>
      </c>
    </row>
    <row r="40" spans="1:8" x14ac:dyDescent="0.25">
      <c r="A40" s="257" t="s">
        <v>1849</v>
      </c>
      <c r="B40" s="41" t="s">
        <v>2022</v>
      </c>
      <c r="C40" s="42" t="s">
        <v>1740</v>
      </c>
      <c r="D40" s="43" t="s">
        <v>1026</v>
      </c>
      <c r="E40" s="47" t="s">
        <v>1741</v>
      </c>
      <c r="F40" s="55" t="s">
        <v>1725</v>
      </c>
      <c r="G40" s="42" t="s">
        <v>24</v>
      </c>
      <c r="H40" s="42">
        <v>2024</v>
      </c>
    </row>
    <row r="41" spans="1:8" x14ac:dyDescent="0.25">
      <c r="A41" s="257" t="s">
        <v>1300</v>
      </c>
      <c r="B41" s="41" t="s">
        <v>2405</v>
      </c>
      <c r="C41" s="42" t="s">
        <v>1065</v>
      </c>
      <c r="D41" s="43" t="s">
        <v>1026</v>
      </c>
      <c r="E41" s="59" t="s">
        <v>1299</v>
      </c>
      <c r="F41" s="55" t="s">
        <v>1725</v>
      </c>
      <c r="G41" s="42" t="s">
        <v>24</v>
      </c>
      <c r="H41" s="42">
        <v>2022</v>
      </c>
    </row>
    <row r="42" spans="1:8" x14ac:dyDescent="0.25">
      <c r="A42" s="258" t="s">
        <v>1301</v>
      </c>
      <c r="B42" s="44" t="s">
        <v>2405</v>
      </c>
      <c r="C42" s="45" t="s">
        <v>1065</v>
      </c>
      <c r="D42" s="46" t="s">
        <v>1026</v>
      </c>
      <c r="E42" s="58" t="s">
        <v>1299</v>
      </c>
      <c r="F42" s="57" t="s">
        <v>1725</v>
      </c>
      <c r="G42" s="45" t="s">
        <v>24</v>
      </c>
      <c r="H42" s="45">
        <v>2022</v>
      </c>
    </row>
    <row r="43" spans="1:8" x14ac:dyDescent="0.25">
      <c r="A43" s="258" t="s">
        <v>1142</v>
      </c>
      <c r="B43" s="44" t="s">
        <v>1024</v>
      </c>
      <c r="C43" s="45" t="s">
        <v>1025</v>
      </c>
      <c r="D43" s="46" t="s">
        <v>1026</v>
      </c>
      <c r="E43" s="56" t="s">
        <v>1141</v>
      </c>
      <c r="F43" s="57" t="s">
        <v>1725</v>
      </c>
      <c r="G43" s="45" t="s">
        <v>24</v>
      </c>
      <c r="H43" s="45">
        <v>2022</v>
      </c>
    </row>
    <row r="44" spans="1:8" x14ac:dyDescent="0.25">
      <c r="A44" s="175" t="s">
        <v>224</v>
      </c>
      <c r="B44" s="152" t="s">
        <v>2406</v>
      </c>
      <c r="C44" s="138" t="s">
        <v>539</v>
      </c>
      <c r="D44" s="150" t="s">
        <v>918</v>
      </c>
      <c r="E44" s="153" t="s">
        <v>1167</v>
      </c>
      <c r="F44" s="140" t="s">
        <v>1725</v>
      </c>
      <c r="G44" s="138" t="s">
        <v>24</v>
      </c>
      <c r="H44" s="138">
        <v>2021</v>
      </c>
    </row>
    <row r="45" spans="1:8" x14ac:dyDescent="0.25">
      <c r="A45" s="257" t="s">
        <v>1419</v>
      </c>
      <c r="B45" s="41" t="s">
        <v>134</v>
      </c>
      <c r="C45" s="42" t="s">
        <v>470</v>
      </c>
      <c r="D45" s="43" t="s">
        <v>1049</v>
      </c>
      <c r="E45" s="47" t="s">
        <v>1234</v>
      </c>
      <c r="F45" s="55" t="s">
        <v>1779</v>
      </c>
      <c r="G45" s="42" t="s">
        <v>37</v>
      </c>
      <c r="H45" s="42">
        <v>2023</v>
      </c>
    </row>
    <row r="46" spans="1:8" x14ac:dyDescent="0.25">
      <c r="A46" s="257" t="s">
        <v>1311</v>
      </c>
      <c r="B46" s="41" t="s">
        <v>1782</v>
      </c>
      <c r="C46" s="42" t="s">
        <v>459</v>
      </c>
      <c r="D46" s="43" t="s">
        <v>1049</v>
      </c>
      <c r="E46" s="47" t="s">
        <v>1310</v>
      </c>
      <c r="F46" s="55" t="s">
        <v>1725</v>
      </c>
      <c r="G46" s="42" t="s">
        <v>182</v>
      </c>
      <c r="H46" s="42">
        <v>2022</v>
      </c>
    </row>
    <row r="47" spans="1:8" x14ac:dyDescent="0.25">
      <c r="A47" s="257">
        <v>225800</v>
      </c>
      <c r="B47" s="41" t="s">
        <v>150</v>
      </c>
      <c r="C47" s="42" t="s">
        <v>485</v>
      </c>
      <c r="D47" s="43" t="s">
        <v>2577</v>
      </c>
      <c r="E47" s="47"/>
      <c r="F47" s="55" t="s">
        <v>1778</v>
      </c>
      <c r="G47" s="42" t="s">
        <v>886</v>
      </c>
      <c r="H47" s="42">
        <v>2015</v>
      </c>
    </row>
    <row r="48" spans="1:8" x14ac:dyDescent="0.25">
      <c r="A48" s="257">
        <v>225810</v>
      </c>
      <c r="B48" s="41" t="s">
        <v>150</v>
      </c>
      <c r="C48" s="42" t="s">
        <v>485</v>
      </c>
      <c r="D48" s="43" t="s">
        <v>2577</v>
      </c>
      <c r="E48" s="47"/>
      <c r="F48" s="55" t="s">
        <v>1778</v>
      </c>
      <c r="G48" s="42" t="s">
        <v>886</v>
      </c>
      <c r="H48" s="42">
        <v>2015</v>
      </c>
    </row>
    <row r="49" spans="1:8" x14ac:dyDescent="0.25">
      <c r="A49" s="257">
        <v>225814</v>
      </c>
      <c r="B49" s="41" t="s">
        <v>150</v>
      </c>
      <c r="C49" s="42" t="s">
        <v>485</v>
      </c>
      <c r="D49" s="43" t="s">
        <v>2577</v>
      </c>
      <c r="E49" s="47"/>
      <c r="F49" s="55" t="s">
        <v>1778</v>
      </c>
      <c r="G49" s="42" t="s">
        <v>886</v>
      </c>
      <c r="H49" s="42">
        <v>2015</v>
      </c>
    </row>
    <row r="50" spans="1:8" x14ac:dyDescent="0.25">
      <c r="A50" s="257" t="s">
        <v>1469</v>
      </c>
      <c r="B50" s="41" t="s">
        <v>158</v>
      </c>
      <c r="C50" s="42" t="s">
        <v>489</v>
      </c>
      <c r="D50" s="43" t="s">
        <v>2577</v>
      </c>
      <c r="E50" s="47" t="s">
        <v>1627</v>
      </c>
      <c r="F50" s="55" t="s">
        <v>1725</v>
      </c>
      <c r="G50" s="42" t="s">
        <v>24</v>
      </c>
      <c r="H50" s="42">
        <v>2019</v>
      </c>
    </row>
    <row r="51" spans="1:8" x14ac:dyDescent="0.25">
      <c r="A51" s="257">
        <v>231055</v>
      </c>
      <c r="B51" s="41" t="s">
        <v>153</v>
      </c>
      <c r="C51" s="42" t="s">
        <v>487</v>
      </c>
      <c r="D51" s="43" t="s">
        <v>2577</v>
      </c>
      <c r="E51" s="47" t="s">
        <v>1276</v>
      </c>
      <c r="F51" s="55" t="s">
        <v>1724</v>
      </c>
      <c r="G51" s="42" t="s">
        <v>926</v>
      </c>
      <c r="H51" s="42">
        <v>2018</v>
      </c>
    </row>
    <row r="52" spans="1:8" x14ac:dyDescent="0.25">
      <c r="A52" s="257">
        <v>231048</v>
      </c>
      <c r="B52" s="41" t="s">
        <v>154</v>
      </c>
      <c r="C52" s="42" t="s">
        <v>488</v>
      </c>
      <c r="D52" s="43" t="s">
        <v>2577</v>
      </c>
      <c r="E52" s="47" t="s">
        <v>1201</v>
      </c>
      <c r="F52" s="55" t="s">
        <v>1724</v>
      </c>
      <c r="G52" s="42" t="s">
        <v>926</v>
      </c>
      <c r="H52" s="42">
        <v>2018</v>
      </c>
    </row>
    <row r="53" spans="1:8" x14ac:dyDescent="0.25">
      <c r="A53" s="257" t="s">
        <v>155</v>
      </c>
      <c r="B53" s="41" t="s">
        <v>154</v>
      </c>
      <c r="C53" s="42" t="s">
        <v>488</v>
      </c>
      <c r="D53" s="43" t="s">
        <v>2577</v>
      </c>
      <c r="E53" s="47" t="s">
        <v>1201</v>
      </c>
      <c r="F53" s="55" t="s">
        <v>1724</v>
      </c>
      <c r="G53" s="42" t="s">
        <v>37</v>
      </c>
      <c r="H53" s="42">
        <v>2018</v>
      </c>
    </row>
    <row r="54" spans="1:8" x14ac:dyDescent="0.25">
      <c r="A54" s="257" t="s">
        <v>156</v>
      </c>
      <c r="B54" s="41" t="s">
        <v>154</v>
      </c>
      <c r="C54" s="42" t="s">
        <v>488</v>
      </c>
      <c r="D54" s="43" t="s">
        <v>2577</v>
      </c>
      <c r="E54" s="47" t="s">
        <v>1201</v>
      </c>
      <c r="F54" s="55" t="s">
        <v>1724</v>
      </c>
      <c r="G54" s="42" t="s">
        <v>37</v>
      </c>
      <c r="H54" s="42">
        <v>2018</v>
      </c>
    </row>
    <row r="55" spans="1:8" x14ac:dyDescent="0.25">
      <c r="A55" s="257" t="s">
        <v>157</v>
      </c>
      <c r="B55" s="41" t="s">
        <v>154</v>
      </c>
      <c r="C55" s="42" t="s">
        <v>488</v>
      </c>
      <c r="D55" s="43" t="s">
        <v>2577</v>
      </c>
      <c r="E55" s="47" t="s">
        <v>1201</v>
      </c>
      <c r="F55" s="55" t="s">
        <v>1724</v>
      </c>
      <c r="G55" s="42" t="s">
        <v>37</v>
      </c>
      <c r="H55" s="42">
        <v>2018</v>
      </c>
    </row>
    <row r="56" spans="1:8" x14ac:dyDescent="0.25">
      <c r="A56" s="175" t="s">
        <v>1462</v>
      </c>
      <c r="B56" s="152" t="s">
        <v>82</v>
      </c>
      <c r="C56" s="138" t="s">
        <v>410</v>
      </c>
      <c r="D56" s="150" t="s">
        <v>2577</v>
      </c>
      <c r="E56" s="153" t="s">
        <v>2537</v>
      </c>
      <c r="F56" s="55" t="s">
        <v>1724</v>
      </c>
      <c r="G56" s="138" t="s">
        <v>260</v>
      </c>
      <c r="H56" s="138">
        <v>2024</v>
      </c>
    </row>
    <row r="57" spans="1:8" x14ac:dyDescent="0.25">
      <c r="A57" s="257" t="s">
        <v>1935</v>
      </c>
      <c r="B57" s="41" t="s">
        <v>82</v>
      </c>
      <c r="C57" s="42" t="s">
        <v>410</v>
      </c>
      <c r="D57" s="43" t="s">
        <v>2577</v>
      </c>
      <c r="E57" s="154" t="s">
        <v>2538</v>
      </c>
      <c r="F57" s="55" t="s">
        <v>1724</v>
      </c>
      <c r="G57" s="42" t="s">
        <v>260</v>
      </c>
      <c r="H57" s="42">
        <v>2024</v>
      </c>
    </row>
    <row r="58" spans="1:8" x14ac:dyDescent="0.25">
      <c r="A58" s="257">
        <v>231416</v>
      </c>
      <c r="B58" s="41" t="s">
        <v>108</v>
      </c>
      <c r="C58" s="42" t="s">
        <v>442</v>
      </c>
      <c r="D58" s="43" t="s">
        <v>897</v>
      </c>
      <c r="E58" s="126" t="s">
        <v>1406</v>
      </c>
      <c r="F58" s="55" t="s">
        <v>1725</v>
      </c>
      <c r="G58" s="42" t="s">
        <v>926</v>
      </c>
      <c r="H58" s="42">
        <v>2018</v>
      </c>
    </row>
    <row r="59" spans="1:8" x14ac:dyDescent="0.25">
      <c r="A59" s="175" t="s">
        <v>172</v>
      </c>
      <c r="B59" s="41" t="s">
        <v>1102</v>
      </c>
      <c r="C59" s="42" t="s">
        <v>1103</v>
      </c>
      <c r="D59" s="43" t="s">
        <v>897</v>
      </c>
      <c r="E59" s="59" t="s">
        <v>1404</v>
      </c>
      <c r="F59" s="55" t="s">
        <v>1725</v>
      </c>
      <c r="G59" s="42" t="s">
        <v>24</v>
      </c>
      <c r="H59" s="138">
        <v>2019</v>
      </c>
    </row>
    <row r="60" spans="1:8" x14ac:dyDescent="0.25">
      <c r="A60" s="257" t="s">
        <v>1925</v>
      </c>
      <c r="B60" s="41" t="s">
        <v>2407</v>
      </c>
      <c r="C60" s="42" t="s">
        <v>1751</v>
      </c>
      <c r="D60" s="43" t="s">
        <v>897</v>
      </c>
      <c r="E60" s="47" t="s">
        <v>1752</v>
      </c>
      <c r="F60" s="55" t="s">
        <v>1725</v>
      </c>
      <c r="G60" s="42" t="s">
        <v>260</v>
      </c>
      <c r="H60" s="42">
        <v>2024</v>
      </c>
    </row>
    <row r="61" spans="1:8" x14ac:dyDescent="0.25">
      <c r="A61" s="257" t="s">
        <v>243</v>
      </c>
      <c r="B61" s="41" t="s">
        <v>2408</v>
      </c>
      <c r="C61" s="42" t="s">
        <v>455</v>
      </c>
      <c r="D61" s="43" t="s">
        <v>897</v>
      </c>
      <c r="E61" s="47" t="s">
        <v>1635</v>
      </c>
      <c r="F61" s="55" t="s">
        <v>1745</v>
      </c>
      <c r="G61" s="42" t="s">
        <v>37</v>
      </c>
      <c r="H61" s="42">
        <v>2021</v>
      </c>
    </row>
    <row r="62" spans="1:8" x14ac:dyDescent="0.25">
      <c r="A62" s="175">
        <v>225698</v>
      </c>
      <c r="B62" s="41" t="s">
        <v>2408</v>
      </c>
      <c r="C62" s="42" t="s">
        <v>455</v>
      </c>
      <c r="D62" s="43" t="s">
        <v>897</v>
      </c>
      <c r="E62" s="59" t="s">
        <v>1635</v>
      </c>
      <c r="F62" s="55" t="s">
        <v>1745</v>
      </c>
      <c r="G62" s="42" t="s">
        <v>926</v>
      </c>
      <c r="H62" s="138">
        <v>2015</v>
      </c>
    </row>
    <row r="63" spans="1:8" x14ac:dyDescent="0.25">
      <c r="A63" s="175">
        <v>225699</v>
      </c>
      <c r="B63" s="41" t="s">
        <v>2408</v>
      </c>
      <c r="C63" s="42" t="s">
        <v>455</v>
      </c>
      <c r="D63" s="43" t="s">
        <v>897</v>
      </c>
      <c r="E63" s="59" t="s">
        <v>1635</v>
      </c>
      <c r="F63" s="55" t="s">
        <v>1745</v>
      </c>
      <c r="G63" s="42" t="s">
        <v>926</v>
      </c>
      <c r="H63" s="138">
        <v>2015</v>
      </c>
    </row>
    <row r="64" spans="1:8" x14ac:dyDescent="0.25">
      <c r="A64" s="175">
        <v>231540</v>
      </c>
      <c r="B64" s="41" t="s">
        <v>2408</v>
      </c>
      <c r="C64" s="42" t="s">
        <v>455</v>
      </c>
      <c r="D64" s="43" t="s">
        <v>897</v>
      </c>
      <c r="E64" s="59" t="s">
        <v>1635</v>
      </c>
      <c r="F64" s="55" t="s">
        <v>1745</v>
      </c>
      <c r="G64" s="42" t="s">
        <v>926</v>
      </c>
      <c r="H64" s="138">
        <v>2019</v>
      </c>
    </row>
    <row r="65" spans="1:8" x14ac:dyDescent="0.25">
      <c r="A65" s="175" t="s">
        <v>274</v>
      </c>
      <c r="B65" s="41" t="s">
        <v>273</v>
      </c>
      <c r="C65" s="42" t="s">
        <v>556</v>
      </c>
      <c r="D65" s="43" t="s">
        <v>897</v>
      </c>
      <c r="E65" s="155" t="s">
        <v>1289</v>
      </c>
      <c r="F65" s="55" t="s">
        <v>1724</v>
      </c>
      <c r="G65" s="42" t="s">
        <v>260</v>
      </c>
      <c r="H65" s="42">
        <v>2021</v>
      </c>
    </row>
    <row r="66" spans="1:8" x14ac:dyDescent="0.25">
      <c r="A66" s="175" t="s">
        <v>275</v>
      </c>
      <c r="B66" s="41" t="s">
        <v>273</v>
      </c>
      <c r="C66" s="42" t="s">
        <v>556</v>
      </c>
      <c r="D66" s="43" t="s">
        <v>897</v>
      </c>
      <c r="E66" s="155" t="s">
        <v>1289</v>
      </c>
      <c r="F66" s="55" t="s">
        <v>1724</v>
      </c>
      <c r="G66" s="42" t="s">
        <v>260</v>
      </c>
      <c r="H66" s="42">
        <v>2021</v>
      </c>
    </row>
    <row r="67" spans="1:8" x14ac:dyDescent="0.25">
      <c r="A67" s="175" t="s">
        <v>1880</v>
      </c>
      <c r="B67" s="152" t="s">
        <v>1809</v>
      </c>
      <c r="C67" s="138" t="s">
        <v>1807</v>
      </c>
      <c r="D67" s="150" t="s">
        <v>897</v>
      </c>
      <c r="E67" s="153"/>
      <c r="F67" s="140" t="s">
        <v>1724</v>
      </c>
      <c r="G67" s="138" t="s">
        <v>37</v>
      </c>
      <c r="H67" s="138">
        <v>2024</v>
      </c>
    </row>
    <row r="68" spans="1:8" x14ac:dyDescent="0.25">
      <c r="A68" s="175">
        <v>225380</v>
      </c>
      <c r="B68" s="152" t="s">
        <v>2409</v>
      </c>
      <c r="C68" s="138" t="s">
        <v>440</v>
      </c>
      <c r="D68" s="150" t="s">
        <v>897</v>
      </c>
      <c r="E68" s="153" t="s">
        <v>1237</v>
      </c>
      <c r="F68" s="140" t="s">
        <v>1724</v>
      </c>
      <c r="G68" s="138" t="s">
        <v>886</v>
      </c>
      <c r="H68" s="138">
        <v>2014</v>
      </c>
    </row>
    <row r="69" spans="1:8" x14ac:dyDescent="0.25">
      <c r="A69" s="175" t="s">
        <v>1969</v>
      </c>
      <c r="B69" s="152" t="s">
        <v>1980</v>
      </c>
      <c r="C69" s="138" t="s">
        <v>1981</v>
      </c>
      <c r="D69" s="150" t="s">
        <v>897</v>
      </c>
      <c r="E69" s="153" t="s">
        <v>1982</v>
      </c>
      <c r="F69" s="140" t="s">
        <v>1731</v>
      </c>
      <c r="G69" s="138" t="s">
        <v>24</v>
      </c>
      <c r="H69" s="138">
        <v>2025</v>
      </c>
    </row>
    <row r="70" spans="1:8" x14ac:dyDescent="0.25">
      <c r="A70" s="257" t="s">
        <v>107</v>
      </c>
      <c r="B70" s="41" t="s">
        <v>1038</v>
      </c>
      <c r="C70" s="42" t="s">
        <v>441</v>
      </c>
      <c r="D70" s="43" t="s">
        <v>897</v>
      </c>
      <c r="E70" s="59" t="s">
        <v>1180</v>
      </c>
      <c r="F70" s="55" t="s">
        <v>1725</v>
      </c>
      <c r="G70" s="42" t="s">
        <v>24</v>
      </c>
      <c r="H70" s="42">
        <v>2020</v>
      </c>
    </row>
    <row r="71" spans="1:8" x14ac:dyDescent="0.25">
      <c r="A71" s="257">
        <v>231422</v>
      </c>
      <c r="B71" s="41" t="s">
        <v>1037</v>
      </c>
      <c r="C71" s="42" t="s">
        <v>441</v>
      </c>
      <c r="D71" s="43" t="s">
        <v>897</v>
      </c>
      <c r="E71" s="59" t="s">
        <v>1179</v>
      </c>
      <c r="F71" s="55" t="s">
        <v>1725</v>
      </c>
      <c r="G71" s="42" t="s">
        <v>926</v>
      </c>
      <c r="H71" s="42">
        <v>2018</v>
      </c>
    </row>
    <row r="72" spans="1:8" x14ac:dyDescent="0.25">
      <c r="A72" s="257">
        <v>231417</v>
      </c>
      <c r="B72" s="41" t="s">
        <v>1036</v>
      </c>
      <c r="C72" s="42" t="s">
        <v>441</v>
      </c>
      <c r="D72" s="43" t="s">
        <v>897</v>
      </c>
      <c r="E72" s="59" t="s">
        <v>1178</v>
      </c>
      <c r="F72" s="55" t="s">
        <v>1725</v>
      </c>
      <c r="G72" s="42" t="s">
        <v>926</v>
      </c>
      <c r="H72" s="42">
        <v>2018</v>
      </c>
    </row>
    <row r="73" spans="1:8" x14ac:dyDescent="0.25">
      <c r="A73" s="258" t="s">
        <v>298</v>
      </c>
      <c r="B73" s="44" t="s">
        <v>297</v>
      </c>
      <c r="C73" s="45" t="s">
        <v>562</v>
      </c>
      <c r="D73" s="46" t="s">
        <v>897</v>
      </c>
      <c r="E73" s="56" t="s">
        <v>1163</v>
      </c>
      <c r="F73" s="57" t="s">
        <v>1725</v>
      </c>
      <c r="G73" s="45" t="s">
        <v>24</v>
      </c>
      <c r="H73" s="45">
        <v>2021</v>
      </c>
    </row>
    <row r="74" spans="1:8" x14ac:dyDescent="0.25">
      <c r="A74" s="257" t="s">
        <v>1571</v>
      </c>
      <c r="B74" s="41" t="s">
        <v>2410</v>
      </c>
      <c r="C74" s="42" t="s">
        <v>520</v>
      </c>
      <c r="D74" s="43" t="s">
        <v>897</v>
      </c>
      <c r="E74" s="47" t="s">
        <v>1144</v>
      </c>
      <c r="F74" s="55" t="s">
        <v>1725</v>
      </c>
      <c r="G74" s="42" t="s">
        <v>24</v>
      </c>
      <c r="H74" s="42">
        <v>2019</v>
      </c>
    </row>
    <row r="75" spans="1:8" x14ac:dyDescent="0.25">
      <c r="A75" s="257" t="s">
        <v>1570</v>
      </c>
      <c r="B75" s="41" t="s">
        <v>2410</v>
      </c>
      <c r="C75" s="42" t="s">
        <v>520</v>
      </c>
      <c r="D75" s="43" t="s">
        <v>897</v>
      </c>
      <c r="E75" s="47" t="s">
        <v>1143</v>
      </c>
      <c r="F75" s="55" t="s">
        <v>1725</v>
      </c>
      <c r="G75" s="42" t="s">
        <v>24</v>
      </c>
      <c r="H75" s="42">
        <v>2019</v>
      </c>
    </row>
    <row r="76" spans="1:8" x14ac:dyDescent="0.25">
      <c r="A76" s="257">
        <v>221831</v>
      </c>
      <c r="B76" s="41" t="s">
        <v>143</v>
      </c>
      <c r="C76" s="42" t="s">
        <v>478</v>
      </c>
      <c r="D76" s="43" t="s">
        <v>897</v>
      </c>
      <c r="E76" s="47" t="s">
        <v>1135</v>
      </c>
      <c r="F76" s="55" t="s">
        <v>1828</v>
      </c>
      <c r="G76" s="42" t="s">
        <v>926</v>
      </c>
      <c r="H76" s="42">
        <v>2009</v>
      </c>
    </row>
    <row r="77" spans="1:8" x14ac:dyDescent="0.25">
      <c r="A77" s="257">
        <v>222999</v>
      </c>
      <c r="B77" s="41" t="s">
        <v>143</v>
      </c>
      <c r="C77" s="42" t="s">
        <v>1022</v>
      </c>
      <c r="D77" s="43" t="s">
        <v>897</v>
      </c>
      <c r="E77" s="59" t="s">
        <v>1135</v>
      </c>
      <c r="F77" s="55" t="s">
        <v>1828</v>
      </c>
      <c r="G77" s="42" t="s">
        <v>926</v>
      </c>
      <c r="H77" s="42">
        <v>2009</v>
      </c>
    </row>
    <row r="78" spans="1:8" x14ac:dyDescent="0.25">
      <c r="A78" s="257" t="s">
        <v>195</v>
      </c>
      <c r="B78" s="41" t="s">
        <v>194</v>
      </c>
      <c r="C78" s="42" t="s">
        <v>527</v>
      </c>
      <c r="D78" s="43" t="s">
        <v>900</v>
      </c>
      <c r="E78" s="59" t="s">
        <v>1281</v>
      </c>
      <c r="F78" s="55" t="s">
        <v>1725</v>
      </c>
      <c r="G78" s="42" t="s">
        <v>24</v>
      </c>
      <c r="H78" s="42">
        <v>2020</v>
      </c>
    </row>
    <row r="79" spans="1:8" x14ac:dyDescent="0.25">
      <c r="A79" s="257" t="s">
        <v>1479</v>
      </c>
      <c r="B79" s="41" t="s">
        <v>170</v>
      </c>
      <c r="C79" s="42" t="s">
        <v>500</v>
      </c>
      <c r="D79" s="43" t="s">
        <v>900</v>
      </c>
      <c r="E79" s="47" t="s">
        <v>1385</v>
      </c>
      <c r="F79" s="55" t="s">
        <v>1742</v>
      </c>
      <c r="G79" s="42" t="s">
        <v>24</v>
      </c>
      <c r="H79" s="42">
        <v>2019</v>
      </c>
    </row>
    <row r="80" spans="1:8" x14ac:dyDescent="0.25">
      <c r="A80" s="257" t="s">
        <v>1486</v>
      </c>
      <c r="B80" s="41" t="s">
        <v>1093</v>
      </c>
      <c r="C80" s="42" t="s">
        <v>519</v>
      </c>
      <c r="D80" s="43" t="s">
        <v>900</v>
      </c>
      <c r="E80" s="59" t="s">
        <v>1367</v>
      </c>
      <c r="F80" s="55" t="s">
        <v>1725</v>
      </c>
      <c r="G80" s="42" t="s">
        <v>24</v>
      </c>
      <c r="H80" s="42">
        <v>2019</v>
      </c>
    </row>
    <row r="81" spans="1:8" x14ac:dyDescent="0.25">
      <c r="A81" s="175" t="s">
        <v>1562</v>
      </c>
      <c r="B81" s="41" t="s">
        <v>1453</v>
      </c>
      <c r="C81" s="42" t="s">
        <v>1601</v>
      </c>
      <c r="D81" s="43" t="s">
        <v>900</v>
      </c>
      <c r="E81" s="155" t="s">
        <v>1671</v>
      </c>
      <c r="F81" s="55" t="s">
        <v>1731</v>
      </c>
      <c r="G81" s="42" t="s">
        <v>24</v>
      </c>
      <c r="H81" s="42">
        <v>2023</v>
      </c>
    </row>
    <row r="82" spans="1:8" x14ac:dyDescent="0.25">
      <c r="A82" s="257" t="s">
        <v>220</v>
      </c>
      <c r="B82" s="41" t="s">
        <v>29</v>
      </c>
      <c r="C82" s="42" t="s">
        <v>339</v>
      </c>
      <c r="D82" s="43" t="s">
        <v>900</v>
      </c>
      <c r="E82" s="47" t="s">
        <v>1247</v>
      </c>
      <c r="F82" s="55" t="s">
        <v>1732</v>
      </c>
      <c r="G82" s="42" t="s">
        <v>24</v>
      </c>
      <c r="H82" s="42">
        <v>2021</v>
      </c>
    </row>
    <row r="83" spans="1:8" x14ac:dyDescent="0.25">
      <c r="A83" s="257" t="s">
        <v>122</v>
      </c>
      <c r="B83" s="41" t="s">
        <v>293</v>
      </c>
      <c r="C83" s="42" t="s">
        <v>459</v>
      </c>
      <c r="D83" s="43" t="s">
        <v>911</v>
      </c>
      <c r="E83" s="47" t="s">
        <v>1657</v>
      </c>
      <c r="F83" s="55" t="s">
        <v>1724</v>
      </c>
      <c r="G83" s="42" t="s">
        <v>37</v>
      </c>
      <c r="H83" s="42">
        <v>2019</v>
      </c>
    </row>
    <row r="84" spans="1:8" x14ac:dyDescent="0.25">
      <c r="A84" s="175" t="s">
        <v>294</v>
      </c>
      <c r="B84" s="152" t="s">
        <v>293</v>
      </c>
      <c r="C84" s="138" t="s">
        <v>459</v>
      </c>
      <c r="D84" s="150" t="s">
        <v>911</v>
      </c>
      <c r="E84" s="156" t="s">
        <v>1657</v>
      </c>
      <c r="F84" s="140" t="s">
        <v>1724</v>
      </c>
      <c r="G84" s="138" t="s">
        <v>24</v>
      </c>
      <c r="H84" s="138">
        <v>2021</v>
      </c>
    </row>
    <row r="85" spans="1:8" x14ac:dyDescent="0.25">
      <c r="A85" s="257" t="s">
        <v>1459</v>
      </c>
      <c r="B85" s="41" t="s">
        <v>2411</v>
      </c>
      <c r="C85" s="42" t="s">
        <v>1575</v>
      </c>
      <c r="D85" s="43" t="s">
        <v>1606</v>
      </c>
      <c r="E85" s="59" t="s">
        <v>1615</v>
      </c>
      <c r="F85" s="55" t="s">
        <v>1731</v>
      </c>
      <c r="G85" s="42" t="s">
        <v>24</v>
      </c>
      <c r="H85" s="42">
        <v>2023</v>
      </c>
    </row>
    <row r="86" spans="1:8" x14ac:dyDescent="0.25">
      <c r="A86" s="257" t="s">
        <v>1461</v>
      </c>
      <c r="B86" s="41" t="s">
        <v>1428</v>
      </c>
      <c r="C86" s="42" t="s">
        <v>1576</v>
      </c>
      <c r="D86" s="43" t="s">
        <v>1606</v>
      </c>
      <c r="E86" s="47" t="s">
        <v>1617</v>
      </c>
      <c r="F86" s="55" t="s">
        <v>1725</v>
      </c>
      <c r="G86" s="42" t="s">
        <v>24</v>
      </c>
      <c r="H86" s="42">
        <v>2023</v>
      </c>
    </row>
    <row r="87" spans="1:8" x14ac:dyDescent="0.25">
      <c r="A87" s="257" t="s">
        <v>1847</v>
      </c>
      <c r="B87" s="41" t="s">
        <v>1734</v>
      </c>
      <c r="C87" s="42" t="s">
        <v>1735</v>
      </c>
      <c r="D87" s="43" t="s">
        <v>1606</v>
      </c>
      <c r="E87" s="47" t="s">
        <v>1737</v>
      </c>
      <c r="F87" s="55" t="s">
        <v>1725</v>
      </c>
      <c r="G87" s="42" t="s">
        <v>24</v>
      </c>
      <c r="H87" s="42">
        <v>2024</v>
      </c>
    </row>
    <row r="88" spans="1:8" x14ac:dyDescent="0.25">
      <c r="A88" s="257">
        <v>224463</v>
      </c>
      <c r="B88" s="41" t="s">
        <v>85</v>
      </c>
      <c r="C88" s="42" t="s">
        <v>413</v>
      </c>
      <c r="D88" s="43" t="s">
        <v>1606</v>
      </c>
      <c r="E88" s="47"/>
      <c r="F88" s="55" t="s">
        <v>1732</v>
      </c>
      <c r="G88" s="42" t="s">
        <v>926</v>
      </c>
      <c r="H88" s="42">
        <v>2014</v>
      </c>
    </row>
    <row r="89" spans="1:8" x14ac:dyDescent="0.25">
      <c r="A89" s="257">
        <v>229761</v>
      </c>
      <c r="B89" s="41" t="s">
        <v>84</v>
      </c>
      <c r="C89" s="42" t="s">
        <v>412</v>
      </c>
      <c r="D89" s="43" t="s">
        <v>1606</v>
      </c>
      <c r="E89" s="47" t="s">
        <v>1382</v>
      </c>
      <c r="F89" s="55" t="s">
        <v>1732</v>
      </c>
      <c r="G89" s="42" t="s">
        <v>926</v>
      </c>
      <c r="H89" s="42">
        <v>2018</v>
      </c>
    </row>
    <row r="90" spans="1:8" x14ac:dyDescent="0.25">
      <c r="A90" s="257" t="s">
        <v>1498</v>
      </c>
      <c r="B90" s="41" t="s">
        <v>1443</v>
      </c>
      <c r="C90" s="42" t="s">
        <v>1594</v>
      </c>
      <c r="D90" s="43" t="s">
        <v>1606</v>
      </c>
      <c r="E90" s="59" t="s">
        <v>1650</v>
      </c>
      <c r="F90" s="55" t="s">
        <v>1731</v>
      </c>
      <c r="G90" s="42" t="s">
        <v>24</v>
      </c>
      <c r="H90" s="42">
        <v>2023</v>
      </c>
    </row>
    <row r="91" spans="1:8" x14ac:dyDescent="0.25">
      <c r="A91" s="257" t="s">
        <v>1966</v>
      </c>
      <c r="B91" s="41" t="s">
        <v>93</v>
      </c>
      <c r="C91" s="42" t="s">
        <v>423</v>
      </c>
      <c r="D91" s="43" t="s">
        <v>1606</v>
      </c>
      <c r="E91" s="59"/>
      <c r="F91" s="55" t="s">
        <v>1732</v>
      </c>
      <c r="G91" s="42" t="s">
        <v>926</v>
      </c>
      <c r="H91" s="42">
        <v>2009</v>
      </c>
    </row>
    <row r="92" spans="1:8" x14ac:dyDescent="0.25">
      <c r="A92" s="175" t="s">
        <v>1966</v>
      </c>
      <c r="B92" s="152" t="s">
        <v>93</v>
      </c>
      <c r="C92" s="138" t="s">
        <v>423</v>
      </c>
      <c r="D92" s="150" t="s">
        <v>1606</v>
      </c>
      <c r="E92" s="153"/>
      <c r="F92" s="140" t="s">
        <v>1732</v>
      </c>
      <c r="G92" s="138" t="s">
        <v>926</v>
      </c>
      <c r="H92" s="138">
        <v>2009</v>
      </c>
    </row>
    <row r="93" spans="1:8" x14ac:dyDescent="0.25">
      <c r="A93" s="257" t="s">
        <v>1884</v>
      </c>
      <c r="B93" s="41" t="s">
        <v>1813</v>
      </c>
      <c r="C93" s="42" t="s">
        <v>1814</v>
      </c>
      <c r="D93" s="43" t="s">
        <v>1606</v>
      </c>
      <c r="E93" s="47" t="s">
        <v>1815</v>
      </c>
      <c r="F93" s="55" t="s">
        <v>1724</v>
      </c>
      <c r="G93" s="42" t="s">
        <v>24</v>
      </c>
      <c r="H93" s="42">
        <v>2024</v>
      </c>
    </row>
    <row r="94" spans="1:8" x14ac:dyDescent="0.25">
      <c r="A94" s="257" t="s">
        <v>1932</v>
      </c>
      <c r="B94" s="41" t="s">
        <v>1813</v>
      </c>
      <c r="C94" s="42" t="s">
        <v>1814</v>
      </c>
      <c r="D94" s="43" t="s">
        <v>1606</v>
      </c>
      <c r="E94" s="47" t="s">
        <v>1815</v>
      </c>
      <c r="F94" s="55" t="s">
        <v>1724</v>
      </c>
      <c r="G94" s="42" t="s">
        <v>24</v>
      </c>
      <c r="H94" s="42">
        <v>2024</v>
      </c>
    </row>
    <row r="95" spans="1:8" x14ac:dyDescent="0.25">
      <c r="A95" s="257">
        <v>215532</v>
      </c>
      <c r="B95" s="41" t="s">
        <v>78</v>
      </c>
      <c r="C95" s="42" t="s">
        <v>403</v>
      </c>
      <c r="D95" s="43" t="s">
        <v>1606</v>
      </c>
      <c r="E95" s="47" t="s">
        <v>1173</v>
      </c>
      <c r="F95" s="55" t="s">
        <v>1732</v>
      </c>
      <c r="G95" s="42" t="s">
        <v>926</v>
      </c>
      <c r="H95" s="42">
        <v>2009</v>
      </c>
    </row>
    <row r="96" spans="1:8" x14ac:dyDescent="0.25">
      <c r="A96" s="175" t="s">
        <v>1966</v>
      </c>
      <c r="B96" s="152" t="s">
        <v>78</v>
      </c>
      <c r="C96" s="138" t="s">
        <v>403</v>
      </c>
      <c r="D96" s="150" t="s">
        <v>1606</v>
      </c>
      <c r="E96" s="153" t="s">
        <v>1173</v>
      </c>
      <c r="F96" s="140" t="s">
        <v>1732</v>
      </c>
      <c r="G96" s="138" t="s">
        <v>926</v>
      </c>
      <c r="H96" s="138">
        <v>2009</v>
      </c>
    </row>
    <row r="97" spans="1:8" x14ac:dyDescent="0.25">
      <c r="A97" s="257">
        <v>228676</v>
      </c>
      <c r="B97" s="41" t="s">
        <v>164</v>
      </c>
      <c r="C97" s="42" t="s">
        <v>493</v>
      </c>
      <c r="D97" s="43" t="s">
        <v>1606</v>
      </c>
      <c r="E97" s="47" t="s">
        <v>1402</v>
      </c>
      <c r="F97" s="55" t="s">
        <v>1725</v>
      </c>
      <c r="G97" s="42" t="s">
        <v>926</v>
      </c>
      <c r="H97" s="42">
        <v>2017</v>
      </c>
    </row>
    <row r="98" spans="1:8" x14ac:dyDescent="0.25">
      <c r="A98" s="257" t="s">
        <v>1934</v>
      </c>
      <c r="B98" s="41" t="s">
        <v>1816</v>
      </c>
      <c r="C98" s="42" t="s">
        <v>1044</v>
      </c>
      <c r="D98" s="43" t="s">
        <v>2578</v>
      </c>
      <c r="E98" s="47" t="s">
        <v>1954</v>
      </c>
      <c r="F98" s="55" t="s">
        <v>1831</v>
      </c>
      <c r="G98" s="42" t="s">
        <v>1832</v>
      </c>
      <c r="H98" s="42">
        <v>2025</v>
      </c>
    </row>
    <row r="99" spans="1:8" x14ac:dyDescent="0.25">
      <c r="A99" s="257" t="s">
        <v>1868</v>
      </c>
      <c r="B99" s="41" t="s">
        <v>1938</v>
      </c>
      <c r="C99" s="42" t="s">
        <v>1942</v>
      </c>
      <c r="D99" s="43" t="s">
        <v>894</v>
      </c>
      <c r="E99" s="59"/>
      <c r="F99" s="55" t="s">
        <v>1764</v>
      </c>
      <c r="G99" s="42" t="s">
        <v>1680</v>
      </c>
      <c r="H99" s="42">
        <v>2024</v>
      </c>
    </row>
    <row r="100" spans="1:8" x14ac:dyDescent="0.25">
      <c r="A100" s="257">
        <v>218873</v>
      </c>
      <c r="B100" s="41" t="s">
        <v>26</v>
      </c>
      <c r="C100" s="42" t="s">
        <v>331</v>
      </c>
      <c r="D100" s="43" t="s">
        <v>894</v>
      </c>
      <c r="E100" s="59"/>
      <c r="F100" s="55" t="s">
        <v>1732</v>
      </c>
      <c r="G100" s="42" t="s">
        <v>926</v>
      </c>
      <c r="H100" s="42">
        <v>1999</v>
      </c>
    </row>
    <row r="101" spans="1:8" x14ac:dyDescent="0.25">
      <c r="A101" s="257">
        <v>224462</v>
      </c>
      <c r="B101" s="41" t="s">
        <v>27</v>
      </c>
      <c r="C101" s="42" t="s">
        <v>333</v>
      </c>
      <c r="D101" s="43" t="s">
        <v>894</v>
      </c>
      <c r="E101" s="59"/>
      <c r="F101" s="55" t="s">
        <v>1732</v>
      </c>
      <c r="G101" s="42" t="s">
        <v>926</v>
      </c>
      <c r="H101" s="42">
        <v>2014</v>
      </c>
    </row>
    <row r="102" spans="1:8" x14ac:dyDescent="0.25">
      <c r="A102" s="175">
        <v>226157</v>
      </c>
      <c r="B102" s="152" t="s">
        <v>28</v>
      </c>
      <c r="C102" s="138" t="s">
        <v>334</v>
      </c>
      <c r="D102" s="150" t="s">
        <v>894</v>
      </c>
      <c r="E102" s="153"/>
      <c r="F102" s="55" t="s">
        <v>1732</v>
      </c>
      <c r="G102" s="138" t="s">
        <v>926</v>
      </c>
      <c r="H102" s="138">
        <v>2015</v>
      </c>
    </row>
    <row r="103" spans="1:8" x14ac:dyDescent="0.25">
      <c r="A103" s="175">
        <v>231050</v>
      </c>
      <c r="B103" s="41" t="s">
        <v>2412</v>
      </c>
      <c r="C103" s="42" t="s">
        <v>337</v>
      </c>
      <c r="D103" s="43" t="s">
        <v>894</v>
      </c>
      <c r="E103" s="153" t="s">
        <v>1242</v>
      </c>
      <c r="F103" s="140" t="s">
        <v>1732</v>
      </c>
      <c r="G103" s="138" t="s">
        <v>926</v>
      </c>
      <c r="H103" s="138">
        <v>2018</v>
      </c>
    </row>
    <row r="104" spans="1:8" x14ac:dyDescent="0.25">
      <c r="A104" s="257">
        <v>217446</v>
      </c>
      <c r="B104" s="41" t="s">
        <v>17</v>
      </c>
      <c r="C104" s="42" t="s">
        <v>324</v>
      </c>
      <c r="D104" s="43" t="s">
        <v>894</v>
      </c>
      <c r="E104" s="47"/>
      <c r="F104" s="55" t="s">
        <v>1732</v>
      </c>
      <c r="G104" s="42" t="s">
        <v>926</v>
      </c>
      <c r="H104" s="42">
        <v>2009</v>
      </c>
    </row>
    <row r="105" spans="1:8" x14ac:dyDescent="0.25">
      <c r="A105" s="257">
        <v>217852</v>
      </c>
      <c r="B105" s="41" t="s">
        <v>17</v>
      </c>
      <c r="C105" s="42" t="s">
        <v>324</v>
      </c>
      <c r="D105" s="43" t="s">
        <v>894</v>
      </c>
      <c r="E105" s="59"/>
      <c r="F105" s="55" t="s">
        <v>1732</v>
      </c>
      <c r="G105" s="42" t="s">
        <v>926</v>
      </c>
      <c r="H105" s="42">
        <v>2009</v>
      </c>
    </row>
    <row r="106" spans="1:8" x14ac:dyDescent="0.25">
      <c r="A106" s="258">
        <v>217853</v>
      </c>
      <c r="B106" s="44" t="s">
        <v>17</v>
      </c>
      <c r="C106" s="45" t="s">
        <v>324</v>
      </c>
      <c r="D106" s="46" t="s">
        <v>894</v>
      </c>
      <c r="E106" s="58"/>
      <c r="F106" s="57" t="s">
        <v>1732</v>
      </c>
      <c r="G106" s="45" t="s">
        <v>926</v>
      </c>
      <c r="H106" s="45">
        <v>2009</v>
      </c>
    </row>
    <row r="107" spans="1:8" x14ac:dyDescent="0.25">
      <c r="A107" s="257">
        <v>215028</v>
      </c>
      <c r="B107" s="41" t="s">
        <v>20</v>
      </c>
      <c r="C107" s="42" t="s">
        <v>327</v>
      </c>
      <c r="D107" s="43" t="s">
        <v>894</v>
      </c>
      <c r="E107" s="59"/>
      <c r="F107" s="55" t="s">
        <v>1732</v>
      </c>
      <c r="G107" s="42" t="s">
        <v>926</v>
      </c>
      <c r="H107" s="42">
        <v>2015</v>
      </c>
    </row>
    <row r="108" spans="1:8" x14ac:dyDescent="0.25">
      <c r="A108" s="175" t="s">
        <v>1966</v>
      </c>
      <c r="B108" s="152" t="s">
        <v>18</v>
      </c>
      <c r="C108" s="138" t="s">
        <v>325</v>
      </c>
      <c r="D108" s="150" t="s">
        <v>894</v>
      </c>
      <c r="E108" s="153"/>
      <c r="F108" s="140" t="s">
        <v>1732</v>
      </c>
      <c r="G108" s="138" t="s">
        <v>926</v>
      </c>
      <c r="H108" s="138">
        <v>2009</v>
      </c>
    </row>
    <row r="109" spans="1:8" x14ac:dyDescent="0.25">
      <c r="A109" s="257" t="s">
        <v>1966</v>
      </c>
      <c r="B109" s="41" t="s">
        <v>18</v>
      </c>
      <c r="C109" s="42" t="s">
        <v>325</v>
      </c>
      <c r="D109" s="43" t="s">
        <v>894</v>
      </c>
      <c r="E109" s="59"/>
      <c r="F109" s="55" t="s">
        <v>1732</v>
      </c>
      <c r="G109" s="42" t="s">
        <v>926</v>
      </c>
      <c r="H109" s="42">
        <v>2009</v>
      </c>
    </row>
    <row r="110" spans="1:8" x14ac:dyDescent="0.25">
      <c r="A110" s="257" t="s">
        <v>1966</v>
      </c>
      <c r="B110" s="41" t="s">
        <v>18</v>
      </c>
      <c r="C110" s="42" t="s">
        <v>325</v>
      </c>
      <c r="D110" s="43" t="s">
        <v>894</v>
      </c>
      <c r="E110" s="59"/>
      <c r="F110" s="55" t="s">
        <v>1732</v>
      </c>
      <c r="G110" s="42" t="s">
        <v>1152</v>
      </c>
      <c r="H110" s="42">
        <v>2009</v>
      </c>
    </row>
    <row r="111" spans="1:8" x14ac:dyDescent="0.25">
      <c r="A111" s="257">
        <v>225633</v>
      </c>
      <c r="B111" s="41" t="s">
        <v>1811</v>
      </c>
      <c r="C111" s="42" t="s">
        <v>320</v>
      </c>
      <c r="D111" s="43" t="s">
        <v>894</v>
      </c>
      <c r="E111" s="47"/>
      <c r="F111" s="55" t="s">
        <v>1732</v>
      </c>
      <c r="G111" s="42" t="s">
        <v>926</v>
      </c>
      <c r="H111" s="42">
        <v>2009</v>
      </c>
    </row>
    <row r="112" spans="1:8" x14ac:dyDescent="0.25">
      <c r="A112" s="175">
        <v>220290</v>
      </c>
      <c r="B112" s="41" t="s">
        <v>2413</v>
      </c>
      <c r="C112" s="42" t="s">
        <v>330</v>
      </c>
      <c r="D112" s="43" t="s">
        <v>894</v>
      </c>
      <c r="E112" s="155" t="s">
        <v>1210</v>
      </c>
      <c r="F112" s="55" t="s">
        <v>1732</v>
      </c>
      <c r="G112" s="42" t="s">
        <v>926</v>
      </c>
      <c r="H112" s="42">
        <v>2012</v>
      </c>
    </row>
    <row r="113" spans="1:8" x14ac:dyDescent="0.25">
      <c r="A113" s="257">
        <v>221352</v>
      </c>
      <c r="B113" s="41" t="s">
        <v>2413</v>
      </c>
      <c r="C113" s="42" t="s">
        <v>330</v>
      </c>
      <c r="D113" s="43" t="s">
        <v>894</v>
      </c>
      <c r="E113" s="59" t="s">
        <v>1210</v>
      </c>
      <c r="F113" s="55" t="s">
        <v>1732</v>
      </c>
      <c r="G113" s="42" t="s">
        <v>926</v>
      </c>
      <c r="H113" s="42">
        <v>2012</v>
      </c>
    </row>
    <row r="114" spans="1:8" x14ac:dyDescent="0.25">
      <c r="A114" s="175" t="s">
        <v>1493</v>
      </c>
      <c r="B114" s="41" t="s">
        <v>2413</v>
      </c>
      <c r="C114" s="42" t="s">
        <v>330</v>
      </c>
      <c r="D114" s="43" t="s">
        <v>894</v>
      </c>
      <c r="E114" s="50" t="s">
        <v>1210</v>
      </c>
      <c r="F114" s="55" t="s">
        <v>1732</v>
      </c>
      <c r="G114" s="42" t="s">
        <v>24</v>
      </c>
      <c r="H114" s="42">
        <v>2019</v>
      </c>
    </row>
    <row r="115" spans="1:8" x14ac:dyDescent="0.25">
      <c r="A115" s="257" t="s">
        <v>1494</v>
      </c>
      <c r="B115" s="41" t="s">
        <v>2413</v>
      </c>
      <c r="C115" s="42" t="s">
        <v>330</v>
      </c>
      <c r="D115" s="43" t="s">
        <v>894</v>
      </c>
      <c r="E115" s="47" t="s">
        <v>1210</v>
      </c>
      <c r="F115" s="55" t="s">
        <v>1732</v>
      </c>
      <c r="G115" s="42" t="s">
        <v>24</v>
      </c>
      <c r="H115" s="42">
        <v>2019</v>
      </c>
    </row>
    <row r="116" spans="1:8" x14ac:dyDescent="0.25">
      <c r="A116" s="257" t="s">
        <v>1495</v>
      </c>
      <c r="B116" s="41" t="s">
        <v>2413</v>
      </c>
      <c r="C116" s="42" t="s">
        <v>330</v>
      </c>
      <c r="D116" s="43" t="s">
        <v>894</v>
      </c>
      <c r="E116" s="47" t="s">
        <v>1210</v>
      </c>
      <c r="F116" s="55" t="s">
        <v>1732</v>
      </c>
      <c r="G116" s="42" t="s">
        <v>25</v>
      </c>
      <c r="H116" s="42">
        <v>2019</v>
      </c>
    </row>
    <row r="117" spans="1:8" x14ac:dyDescent="0.25">
      <c r="A117" s="257">
        <v>221623</v>
      </c>
      <c r="B117" s="41" t="s">
        <v>2414</v>
      </c>
      <c r="C117" s="42" t="s">
        <v>335</v>
      </c>
      <c r="D117" s="43" t="s">
        <v>894</v>
      </c>
      <c r="E117" s="47"/>
      <c r="F117" s="55" t="s">
        <v>1732</v>
      </c>
      <c r="G117" s="42" t="s">
        <v>926</v>
      </c>
      <c r="H117" s="42">
        <v>2011</v>
      </c>
    </row>
    <row r="118" spans="1:8" x14ac:dyDescent="0.25">
      <c r="A118" s="259">
        <v>231541</v>
      </c>
      <c r="B118" s="41" t="s">
        <v>2415</v>
      </c>
      <c r="C118" s="42" t="s">
        <v>340</v>
      </c>
      <c r="D118" s="43" t="s">
        <v>894</v>
      </c>
      <c r="E118" s="47" t="s">
        <v>1666</v>
      </c>
      <c r="F118" s="55" t="s">
        <v>1732</v>
      </c>
      <c r="G118" s="42" t="s">
        <v>926</v>
      </c>
      <c r="H118" s="42">
        <v>2019</v>
      </c>
    </row>
    <row r="119" spans="1:8" x14ac:dyDescent="0.25">
      <c r="A119" s="257">
        <v>211840</v>
      </c>
      <c r="B119" s="41" t="s">
        <v>2416</v>
      </c>
      <c r="C119" s="42" t="s">
        <v>323</v>
      </c>
      <c r="D119" s="43" t="s">
        <v>894</v>
      </c>
      <c r="E119" s="47" t="s">
        <v>1621</v>
      </c>
      <c r="F119" s="55" t="s">
        <v>1732</v>
      </c>
      <c r="G119" s="42" t="s">
        <v>926</v>
      </c>
      <c r="H119" s="42">
        <v>2009</v>
      </c>
    </row>
    <row r="120" spans="1:8" x14ac:dyDescent="0.25">
      <c r="A120" s="259">
        <v>228635</v>
      </c>
      <c r="B120" s="41" t="s">
        <v>2416</v>
      </c>
      <c r="C120" s="42" t="s">
        <v>323</v>
      </c>
      <c r="D120" s="43" t="s">
        <v>894</v>
      </c>
      <c r="E120" s="47" t="s">
        <v>1621</v>
      </c>
      <c r="F120" s="55" t="s">
        <v>1732</v>
      </c>
      <c r="G120" s="42" t="s">
        <v>926</v>
      </c>
      <c r="H120" s="42">
        <v>2017</v>
      </c>
    </row>
    <row r="121" spans="1:8" x14ac:dyDescent="0.25">
      <c r="A121" s="257">
        <v>222882</v>
      </c>
      <c r="B121" s="41" t="s">
        <v>2417</v>
      </c>
      <c r="C121" s="42" t="s">
        <v>332</v>
      </c>
      <c r="D121" s="43" t="s">
        <v>894</v>
      </c>
      <c r="E121" s="47"/>
      <c r="F121" s="55" t="s">
        <v>1732</v>
      </c>
      <c r="G121" s="42" t="s">
        <v>926</v>
      </c>
      <c r="H121" s="42">
        <v>2012</v>
      </c>
    </row>
    <row r="122" spans="1:8" x14ac:dyDescent="0.25">
      <c r="A122" s="257">
        <v>222998</v>
      </c>
      <c r="B122" s="41" t="s">
        <v>2417</v>
      </c>
      <c r="C122" s="42" t="s">
        <v>332</v>
      </c>
      <c r="D122" s="43" t="s">
        <v>894</v>
      </c>
      <c r="E122" s="154"/>
      <c r="F122" s="55" t="s">
        <v>1732</v>
      </c>
      <c r="G122" s="42" t="s">
        <v>926</v>
      </c>
      <c r="H122" s="42">
        <v>2012</v>
      </c>
    </row>
    <row r="123" spans="1:8" x14ac:dyDescent="0.25">
      <c r="A123" s="257">
        <v>224281</v>
      </c>
      <c r="B123" s="41" t="s">
        <v>2417</v>
      </c>
      <c r="C123" s="42" t="s">
        <v>332</v>
      </c>
      <c r="D123" s="43" t="s">
        <v>894</v>
      </c>
      <c r="E123" s="59"/>
      <c r="F123" s="55" t="s">
        <v>1732</v>
      </c>
      <c r="G123" s="42" t="s">
        <v>926</v>
      </c>
      <c r="H123" s="42">
        <v>2012</v>
      </c>
    </row>
    <row r="124" spans="1:8" x14ac:dyDescent="0.25">
      <c r="A124" s="175" t="s">
        <v>1966</v>
      </c>
      <c r="B124" s="41" t="s">
        <v>2418</v>
      </c>
      <c r="C124" s="42" t="s">
        <v>336</v>
      </c>
      <c r="D124" s="43" t="s">
        <v>894</v>
      </c>
      <c r="E124" s="155"/>
      <c r="F124" s="55" t="s">
        <v>1732</v>
      </c>
      <c r="G124" s="42" t="s">
        <v>926</v>
      </c>
      <c r="H124" s="42">
        <v>2011</v>
      </c>
    </row>
    <row r="125" spans="1:8" x14ac:dyDescent="0.25">
      <c r="A125" s="175">
        <v>220296</v>
      </c>
      <c r="B125" s="41" t="s">
        <v>2419</v>
      </c>
      <c r="C125" s="42" t="s">
        <v>326</v>
      </c>
      <c r="D125" s="43" t="s">
        <v>894</v>
      </c>
      <c r="E125" s="59"/>
      <c r="F125" s="55" t="s">
        <v>1732</v>
      </c>
      <c r="G125" s="127" t="s">
        <v>927</v>
      </c>
      <c r="H125" s="42">
        <v>2014</v>
      </c>
    </row>
    <row r="126" spans="1:8" x14ac:dyDescent="0.25">
      <c r="A126" s="175">
        <v>229980</v>
      </c>
      <c r="B126" s="41" t="s">
        <v>2419</v>
      </c>
      <c r="C126" s="138" t="s">
        <v>326</v>
      </c>
      <c r="D126" s="150" t="s">
        <v>894</v>
      </c>
      <c r="E126" s="153"/>
      <c r="F126" s="140" t="s">
        <v>1732</v>
      </c>
      <c r="G126" s="138" t="s">
        <v>927</v>
      </c>
      <c r="H126" s="138">
        <v>2018</v>
      </c>
    </row>
    <row r="127" spans="1:8" x14ac:dyDescent="0.25">
      <c r="A127" s="175" t="s">
        <v>19</v>
      </c>
      <c r="B127" s="152" t="s">
        <v>2419</v>
      </c>
      <c r="C127" s="138" t="s">
        <v>326</v>
      </c>
      <c r="D127" s="150" t="s">
        <v>894</v>
      </c>
      <c r="E127" s="153"/>
      <c r="F127" s="55" t="s">
        <v>1732</v>
      </c>
      <c r="G127" s="138" t="s">
        <v>927</v>
      </c>
      <c r="H127" s="138">
        <v>1999</v>
      </c>
    </row>
    <row r="128" spans="1:8" x14ac:dyDescent="0.25">
      <c r="A128" s="257">
        <v>228541</v>
      </c>
      <c r="B128" s="41" t="s">
        <v>2420</v>
      </c>
      <c r="C128" s="42" t="s">
        <v>330</v>
      </c>
      <c r="D128" s="43" t="s">
        <v>894</v>
      </c>
      <c r="E128" s="47" t="s">
        <v>1335</v>
      </c>
      <c r="F128" s="55" t="s">
        <v>1732</v>
      </c>
      <c r="G128" s="42" t="s">
        <v>1112</v>
      </c>
      <c r="H128" s="42">
        <v>2016</v>
      </c>
    </row>
    <row r="129" spans="1:8" x14ac:dyDescent="0.25">
      <c r="A129" s="175" t="s">
        <v>23</v>
      </c>
      <c r="B129" s="152" t="s">
        <v>2420</v>
      </c>
      <c r="C129" s="138" t="s">
        <v>330</v>
      </c>
      <c r="D129" s="150" t="s">
        <v>894</v>
      </c>
      <c r="E129" s="153" t="s">
        <v>1335</v>
      </c>
      <c r="F129" s="140" t="s">
        <v>1732</v>
      </c>
      <c r="G129" s="138" t="s">
        <v>926</v>
      </c>
      <c r="H129" s="138">
        <v>2011</v>
      </c>
    </row>
    <row r="130" spans="1:8" x14ac:dyDescent="0.25">
      <c r="A130" s="257">
        <v>220297</v>
      </c>
      <c r="B130" s="41" t="s">
        <v>2421</v>
      </c>
      <c r="C130" s="42" t="s">
        <v>330</v>
      </c>
      <c r="D130" s="43" t="s">
        <v>894</v>
      </c>
      <c r="E130" s="59" t="s">
        <v>1646</v>
      </c>
      <c r="F130" s="55" t="s">
        <v>1732</v>
      </c>
      <c r="G130" s="42" t="s">
        <v>926</v>
      </c>
      <c r="H130" s="42">
        <v>2013</v>
      </c>
    </row>
    <row r="131" spans="1:8" x14ac:dyDescent="0.25">
      <c r="A131" s="257">
        <v>220298</v>
      </c>
      <c r="B131" s="41" t="s">
        <v>2421</v>
      </c>
      <c r="C131" s="42" t="s">
        <v>330</v>
      </c>
      <c r="D131" s="43" t="s">
        <v>894</v>
      </c>
      <c r="E131" s="59"/>
      <c r="F131" s="55" t="s">
        <v>1732</v>
      </c>
      <c r="G131" s="42" t="s">
        <v>926</v>
      </c>
      <c r="H131" s="42">
        <v>2011</v>
      </c>
    </row>
    <row r="132" spans="1:8" x14ac:dyDescent="0.25">
      <c r="A132" s="257" t="s">
        <v>1496</v>
      </c>
      <c r="B132" s="41" t="s">
        <v>2421</v>
      </c>
      <c r="C132" s="42" t="s">
        <v>330</v>
      </c>
      <c r="D132" s="43" t="s">
        <v>894</v>
      </c>
      <c r="E132" s="59" t="s">
        <v>1646</v>
      </c>
      <c r="F132" s="55" t="s">
        <v>1732</v>
      </c>
      <c r="G132" s="42" t="s">
        <v>24</v>
      </c>
      <c r="H132" s="42">
        <v>2019</v>
      </c>
    </row>
    <row r="133" spans="1:8" x14ac:dyDescent="0.25">
      <c r="A133" s="257">
        <v>222897</v>
      </c>
      <c r="B133" s="41" t="s">
        <v>2422</v>
      </c>
      <c r="C133" s="42" t="s">
        <v>332</v>
      </c>
      <c r="D133" s="43" t="s">
        <v>894</v>
      </c>
      <c r="E133" s="59"/>
      <c r="F133" s="55" t="s">
        <v>1732</v>
      </c>
      <c r="G133" s="42" t="s">
        <v>926</v>
      </c>
      <c r="H133" s="42">
        <v>1999</v>
      </c>
    </row>
    <row r="134" spans="1:8" x14ac:dyDescent="0.25">
      <c r="A134" s="257" t="s">
        <v>1368</v>
      </c>
      <c r="B134" s="41" t="s">
        <v>241</v>
      </c>
      <c r="C134" s="42" t="s">
        <v>543</v>
      </c>
      <c r="D134" s="43" t="s">
        <v>903</v>
      </c>
      <c r="E134" s="47"/>
      <c r="F134" s="55" t="s">
        <v>1725</v>
      </c>
      <c r="G134" s="42" t="s">
        <v>37</v>
      </c>
      <c r="H134" s="42">
        <v>2021</v>
      </c>
    </row>
    <row r="135" spans="1:8" x14ac:dyDescent="0.25">
      <c r="A135" s="257">
        <v>231542</v>
      </c>
      <c r="B135" s="41" t="s">
        <v>1451</v>
      </c>
      <c r="C135" s="42">
        <v>20517952533</v>
      </c>
      <c r="D135" s="43" t="s">
        <v>1611</v>
      </c>
      <c r="E135" s="59" t="s">
        <v>1669</v>
      </c>
      <c r="F135" s="55" t="s">
        <v>1732</v>
      </c>
      <c r="G135" s="127" t="s">
        <v>926</v>
      </c>
      <c r="H135" s="42">
        <v>2019</v>
      </c>
    </row>
    <row r="136" spans="1:8" x14ac:dyDescent="0.25">
      <c r="A136" s="257" t="s">
        <v>278</v>
      </c>
      <c r="B136" s="41" t="s">
        <v>277</v>
      </c>
      <c r="C136" s="42" t="s">
        <v>557</v>
      </c>
      <c r="D136" s="43" t="s">
        <v>2579</v>
      </c>
      <c r="E136" s="59" t="s">
        <v>1387</v>
      </c>
      <c r="F136" s="55" t="s">
        <v>1725</v>
      </c>
      <c r="G136" s="42" t="s">
        <v>24</v>
      </c>
      <c r="H136" s="42">
        <v>2021</v>
      </c>
    </row>
    <row r="137" spans="1:8" x14ac:dyDescent="0.25">
      <c r="A137" s="257">
        <v>226009</v>
      </c>
      <c r="B137" s="41" t="s">
        <v>99</v>
      </c>
      <c r="C137" s="42" t="s">
        <v>433</v>
      </c>
      <c r="D137" s="43" t="s">
        <v>893</v>
      </c>
      <c r="E137" s="59" t="s">
        <v>1303</v>
      </c>
      <c r="F137" s="55" t="s">
        <v>1785</v>
      </c>
      <c r="G137" s="42" t="s">
        <v>1120</v>
      </c>
      <c r="H137" s="42">
        <v>2015</v>
      </c>
    </row>
    <row r="138" spans="1:8" x14ac:dyDescent="0.25">
      <c r="A138" s="257" t="s">
        <v>1304</v>
      </c>
      <c r="B138" s="41" t="s">
        <v>99</v>
      </c>
      <c r="C138" s="42" t="s">
        <v>433</v>
      </c>
      <c r="D138" s="43" t="s">
        <v>893</v>
      </c>
      <c r="E138" s="47" t="s">
        <v>1303</v>
      </c>
      <c r="F138" s="55" t="s">
        <v>1785</v>
      </c>
      <c r="G138" s="42" t="s">
        <v>885</v>
      </c>
      <c r="H138" s="42">
        <v>2022</v>
      </c>
    </row>
    <row r="139" spans="1:8" x14ac:dyDescent="0.25">
      <c r="A139" s="257" t="s">
        <v>1470</v>
      </c>
      <c r="B139" s="41" t="s">
        <v>1432</v>
      </c>
      <c r="C139" s="42" t="s">
        <v>1581</v>
      </c>
      <c r="D139" s="43" t="s">
        <v>893</v>
      </c>
      <c r="E139" s="47" t="s">
        <v>1628</v>
      </c>
      <c r="F139" s="55" t="s">
        <v>1724</v>
      </c>
      <c r="G139" s="42" t="s">
        <v>24</v>
      </c>
      <c r="H139" s="42">
        <v>2023</v>
      </c>
    </row>
    <row r="140" spans="1:8" x14ac:dyDescent="0.25">
      <c r="A140" s="257">
        <v>227644</v>
      </c>
      <c r="B140" s="41" t="s">
        <v>132</v>
      </c>
      <c r="C140" s="42" t="s">
        <v>468</v>
      </c>
      <c r="D140" s="43" t="s">
        <v>893</v>
      </c>
      <c r="E140" s="47" t="s">
        <v>1328</v>
      </c>
      <c r="F140" s="55" t="s">
        <v>1745</v>
      </c>
      <c r="G140" s="42" t="s">
        <v>926</v>
      </c>
      <c r="H140" s="42">
        <v>2016</v>
      </c>
    </row>
    <row r="141" spans="1:8" x14ac:dyDescent="0.25">
      <c r="A141" s="258">
        <v>228422</v>
      </c>
      <c r="B141" s="44" t="s">
        <v>132</v>
      </c>
      <c r="C141" s="45" t="s">
        <v>468</v>
      </c>
      <c r="D141" s="46" t="s">
        <v>893</v>
      </c>
      <c r="E141" s="56" t="s">
        <v>1328</v>
      </c>
      <c r="F141" s="57" t="s">
        <v>1745</v>
      </c>
      <c r="G141" s="45" t="s">
        <v>926</v>
      </c>
      <c r="H141" s="45">
        <v>2016</v>
      </c>
    </row>
    <row r="142" spans="1:8" x14ac:dyDescent="0.25">
      <c r="A142" s="257" t="s">
        <v>1966</v>
      </c>
      <c r="B142" s="41" t="s">
        <v>132</v>
      </c>
      <c r="C142" s="42" t="s">
        <v>468</v>
      </c>
      <c r="D142" s="43" t="s">
        <v>893</v>
      </c>
      <c r="E142" s="47" t="s">
        <v>1328</v>
      </c>
      <c r="F142" s="55" t="s">
        <v>1745</v>
      </c>
      <c r="G142" s="42" t="s">
        <v>1329</v>
      </c>
      <c r="H142" s="42">
        <v>2017</v>
      </c>
    </row>
    <row r="143" spans="1:8" x14ac:dyDescent="0.25">
      <c r="A143" s="257" t="s">
        <v>1503</v>
      </c>
      <c r="B143" s="41" t="s">
        <v>1072</v>
      </c>
      <c r="C143" s="42" t="s">
        <v>513</v>
      </c>
      <c r="D143" s="43" t="s">
        <v>893</v>
      </c>
      <c r="E143" s="47" t="s">
        <v>1327</v>
      </c>
      <c r="F143" s="55" t="s">
        <v>1725</v>
      </c>
      <c r="G143" s="42" t="s">
        <v>24</v>
      </c>
      <c r="H143" s="42">
        <v>2019</v>
      </c>
    </row>
    <row r="144" spans="1:8" x14ac:dyDescent="0.25">
      <c r="A144" s="257" t="s">
        <v>210</v>
      </c>
      <c r="B144" s="41" t="s">
        <v>209</v>
      </c>
      <c r="C144" s="42" t="s">
        <v>533</v>
      </c>
      <c r="D144" s="43" t="s">
        <v>893</v>
      </c>
      <c r="E144" s="59" t="s">
        <v>1322</v>
      </c>
      <c r="F144" s="55" t="s">
        <v>1724</v>
      </c>
      <c r="G144" s="42" t="s">
        <v>37</v>
      </c>
      <c r="H144" s="42">
        <v>2020</v>
      </c>
    </row>
    <row r="145" spans="1:8" x14ac:dyDescent="0.25">
      <c r="A145" s="257" t="s">
        <v>1534</v>
      </c>
      <c r="B145" s="41" t="s">
        <v>135</v>
      </c>
      <c r="C145" s="42" t="s">
        <v>471</v>
      </c>
      <c r="D145" s="43" t="s">
        <v>893</v>
      </c>
      <c r="E145" s="59" t="s">
        <v>1263</v>
      </c>
      <c r="F145" s="55" t="s">
        <v>1724</v>
      </c>
      <c r="G145" s="42" t="s">
        <v>136</v>
      </c>
      <c r="H145" s="42">
        <v>2019</v>
      </c>
    </row>
    <row r="146" spans="1:8" x14ac:dyDescent="0.25">
      <c r="A146" s="257">
        <v>228542</v>
      </c>
      <c r="B146" s="41" t="s">
        <v>141</v>
      </c>
      <c r="C146" s="42" t="s">
        <v>476</v>
      </c>
      <c r="D146" s="43" t="s">
        <v>893</v>
      </c>
      <c r="E146" s="59" t="s">
        <v>1195</v>
      </c>
      <c r="F146" s="55" t="s">
        <v>1745</v>
      </c>
      <c r="G146" s="42" t="s">
        <v>926</v>
      </c>
      <c r="H146" s="42">
        <v>2016</v>
      </c>
    </row>
    <row r="147" spans="1:8" x14ac:dyDescent="0.25">
      <c r="A147" s="257" t="s">
        <v>1858</v>
      </c>
      <c r="B147" s="41" t="s">
        <v>2423</v>
      </c>
      <c r="C147" s="42" t="s">
        <v>546</v>
      </c>
      <c r="D147" s="43" t="s">
        <v>893</v>
      </c>
      <c r="E147" s="59" t="s">
        <v>1773</v>
      </c>
      <c r="F147" s="55" t="s">
        <v>1724</v>
      </c>
      <c r="G147" s="42" t="s">
        <v>182</v>
      </c>
      <c r="H147" s="42">
        <v>2021</v>
      </c>
    </row>
    <row r="148" spans="1:8" x14ac:dyDescent="0.25">
      <c r="A148" s="257" t="s">
        <v>252</v>
      </c>
      <c r="B148" s="41" t="s">
        <v>2423</v>
      </c>
      <c r="C148" s="42" t="s">
        <v>546</v>
      </c>
      <c r="D148" s="43" t="s">
        <v>893</v>
      </c>
      <c r="E148" s="59" t="s">
        <v>1773</v>
      </c>
      <c r="F148" s="55" t="s">
        <v>1724</v>
      </c>
      <c r="G148" s="42" t="s">
        <v>182</v>
      </c>
      <c r="H148" s="42">
        <v>2021</v>
      </c>
    </row>
    <row r="149" spans="1:8" x14ac:dyDescent="0.25">
      <c r="A149" s="257" t="s">
        <v>1225</v>
      </c>
      <c r="B149" s="41" t="s">
        <v>1045</v>
      </c>
      <c r="C149" s="42" t="s">
        <v>435</v>
      </c>
      <c r="D149" s="43" t="s">
        <v>1046</v>
      </c>
      <c r="E149" s="59" t="s">
        <v>1224</v>
      </c>
      <c r="F149" s="55" t="s">
        <v>1725</v>
      </c>
      <c r="G149" s="42" t="s">
        <v>24</v>
      </c>
      <c r="H149" s="42">
        <v>2022</v>
      </c>
    </row>
    <row r="150" spans="1:8" x14ac:dyDescent="0.25">
      <c r="A150" s="257" t="s">
        <v>1856</v>
      </c>
      <c r="B150" s="41" t="s">
        <v>1765</v>
      </c>
      <c r="C150" s="42" t="s">
        <v>1766</v>
      </c>
      <c r="D150" s="43" t="s">
        <v>1035</v>
      </c>
      <c r="E150" s="47" t="s">
        <v>1767</v>
      </c>
      <c r="F150" s="55" t="s">
        <v>1768</v>
      </c>
      <c r="G150" s="42" t="s">
        <v>37</v>
      </c>
      <c r="H150" s="42">
        <v>2025</v>
      </c>
    </row>
    <row r="151" spans="1:8" x14ac:dyDescent="0.25">
      <c r="A151" s="257" t="s">
        <v>1172</v>
      </c>
      <c r="B151" s="41" t="s">
        <v>1033</v>
      </c>
      <c r="C151" s="42" t="s">
        <v>1034</v>
      </c>
      <c r="D151" s="43" t="s">
        <v>1035</v>
      </c>
      <c r="E151" s="47" t="s">
        <v>1171</v>
      </c>
      <c r="F151" s="55" t="s">
        <v>1725</v>
      </c>
      <c r="G151" s="42" t="s">
        <v>37</v>
      </c>
      <c r="H151" s="42">
        <v>2022</v>
      </c>
    </row>
    <row r="152" spans="1:8" x14ac:dyDescent="0.25">
      <c r="A152" s="257" t="s">
        <v>1851</v>
      </c>
      <c r="B152" s="41" t="s">
        <v>1749</v>
      </c>
      <c r="C152" s="42" t="s">
        <v>1750</v>
      </c>
      <c r="D152" s="43" t="s">
        <v>2580</v>
      </c>
      <c r="E152" s="47"/>
      <c r="F152" s="55" t="s">
        <v>1724</v>
      </c>
      <c r="G152" s="42" t="s">
        <v>24</v>
      </c>
      <c r="H152" s="42">
        <v>2024</v>
      </c>
    </row>
    <row r="153" spans="1:8" x14ac:dyDescent="0.25">
      <c r="A153" s="257">
        <v>230038</v>
      </c>
      <c r="B153" s="41" t="s">
        <v>2424</v>
      </c>
      <c r="C153" s="42" t="s">
        <v>2527</v>
      </c>
      <c r="D153" s="43" t="s">
        <v>2580</v>
      </c>
      <c r="E153" s="59" t="s">
        <v>1364</v>
      </c>
      <c r="F153" s="55" t="s">
        <v>1732</v>
      </c>
      <c r="G153" s="42" t="s">
        <v>926</v>
      </c>
      <c r="H153" s="42">
        <v>2018</v>
      </c>
    </row>
    <row r="154" spans="1:8" x14ac:dyDescent="0.25">
      <c r="A154" s="257" t="s">
        <v>1869</v>
      </c>
      <c r="B154" s="41" t="s">
        <v>1793</v>
      </c>
      <c r="C154" s="42" t="s">
        <v>1794</v>
      </c>
      <c r="D154" s="43" t="s">
        <v>2580</v>
      </c>
      <c r="E154" s="47" t="s">
        <v>1795</v>
      </c>
      <c r="F154" s="55" t="s">
        <v>1724</v>
      </c>
      <c r="G154" s="42" t="s">
        <v>260</v>
      </c>
      <c r="H154" s="42">
        <v>2024</v>
      </c>
    </row>
    <row r="155" spans="1:8" x14ac:dyDescent="0.25">
      <c r="A155" s="175">
        <v>220305</v>
      </c>
      <c r="B155" s="152" t="s">
        <v>1063</v>
      </c>
      <c r="C155" s="138" t="s">
        <v>1064</v>
      </c>
      <c r="D155" s="150" t="s">
        <v>2581</v>
      </c>
      <c r="E155" s="153"/>
      <c r="F155" s="55" t="s">
        <v>1732</v>
      </c>
      <c r="G155" s="138" t="s">
        <v>927</v>
      </c>
      <c r="H155" s="138">
        <v>2016</v>
      </c>
    </row>
    <row r="156" spans="1:8" x14ac:dyDescent="0.25">
      <c r="A156" s="257" t="s">
        <v>1199</v>
      </c>
      <c r="B156" s="41" t="s">
        <v>1041</v>
      </c>
      <c r="C156" s="42" t="s">
        <v>1042</v>
      </c>
      <c r="D156" s="43" t="s">
        <v>1043</v>
      </c>
      <c r="E156" s="59" t="s">
        <v>1198</v>
      </c>
      <c r="F156" s="55" t="s">
        <v>1725</v>
      </c>
      <c r="G156" s="42" t="s">
        <v>24</v>
      </c>
      <c r="H156" s="42">
        <v>2020</v>
      </c>
    </row>
    <row r="157" spans="1:8" x14ac:dyDescent="0.25">
      <c r="A157" s="257" t="s">
        <v>1492</v>
      </c>
      <c r="B157" s="41" t="s">
        <v>1826</v>
      </c>
      <c r="C157" s="42" t="s">
        <v>1827</v>
      </c>
      <c r="D157" s="43" t="s">
        <v>1610</v>
      </c>
      <c r="E157" s="47" t="s">
        <v>1645</v>
      </c>
      <c r="F157" s="55" t="s">
        <v>1731</v>
      </c>
      <c r="G157" s="42" t="s">
        <v>24</v>
      </c>
      <c r="H157" s="42">
        <v>2023</v>
      </c>
    </row>
    <row r="158" spans="1:8" x14ac:dyDescent="0.25">
      <c r="A158" s="257">
        <v>227469</v>
      </c>
      <c r="B158" s="41" t="s">
        <v>22</v>
      </c>
      <c r="C158" s="42" t="s">
        <v>330</v>
      </c>
      <c r="D158" s="43" t="s">
        <v>2582</v>
      </c>
      <c r="E158" s="47" t="s">
        <v>1336</v>
      </c>
      <c r="F158" s="55" t="s">
        <v>1732</v>
      </c>
      <c r="G158" s="42" t="s">
        <v>927</v>
      </c>
      <c r="H158" s="42">
        <v>2016</v>
      </c>
    </row>
    <row r="159" spans="1:8" x14ac:dyDescent="0.25">
      <c r="A159" s="258">
        <v>227645</v>
      </c>
      <c r="B159" s="44" t="s">
        <v>22</v>
      </c>
      <c r="C159" s="45" t="s">
        <v>330</v>
      </c>
      <c r="D159" s="46" t="s">
        <v>2582</v>
      </c>
      <c r="E159" s="56" t="s">
        <v>1336</v>
      </c>
      <c r="F159" s="57" t="s">
        <v>1732</v>
      </c>
      <c r="G159" s="45" t="s">
        <v>927</v>
      </c>
      <c r="H159" s="45">
        <v>2016</v>
      </c>
    </row>
    <row r="160" spans="1:8" x14ac:dyDescent="0.25">
      <c r="A160" s="257" t="s">
        <v>192</v>
      </c>
      <c r="B160" s="41" t="s">
        <v>22</v>
      </c>
      <c r="C160" s="42" t="s">
        <v>330</v>
      </c>
      <c r="D160" s="43" t="s">
        <v>2582</v>
      </c>
      <c r="E160" s="47" t="s">
        <v>1647</v>
      </c>
      <c r="F160" s="55" t="s">
        <v>1725</v>
      </c>
      <c r="G160" s="42" t="s">
        <v>24</v>
      </c>
      <c r="H160" s="42">
        <v>2020</v>
      </c>
    </row>
    <row r="161" spans="1:8" x14ac:dyDescent="0.25">
      <c r="A161" s="257">
        <v>227143</v>
      </c>
      <c r="B161" s="41" t="s">
        <v>81</v>
      </c>
      <c r="C161" s="42" t="s">
        <v>409</v>
      </c>
      <c r="D161" s="43" t="s">
        <v>2583</v>
      </c>
      <c r="E161" s="59" t="s">
        <v>1116</v>
      </c>
      <c r="F161" s="55" t="s">
        <v>1745</v>
      </c>
      <c r="G161" s="42" t="s">
        <v>926</v>
      </c>
      <c r="H161" s="42">
        <v>2016</v>
      </c>
    </row>
    <row r="162" spans="1:8" x14ac:dyDescent="0.25">
      <c r="A162" s="175">
        <v>221729</v>
      </c>
      <c r="B162" s="41" t="s">
        <v>159</v>
      </c>
      <c r="C162" s="42" t="s">
        <v>490</v>
      </c>
      <c r="D162" s="43" t="s">
        <v>2584</v>
      </c>
      <c r="E162" s="59" t="s">
        <v>1188</v>
      </c>
      <c r="F162" s="55" t="s">
        <v>1724</v>
      </c>
      <c r="G162" s="127" t="s">
        <v>1152</v>
      </c>
      <c r="H162" s="42">
        <v>2014</v>
      </c>
    </row>
    <row r="163" spans="1:8" x14ac:dyDescent="0.25">
      <c r="A163" s="257" t="s">
        <v>226</v>
      </c>
      <c r="B163" s="41" t="s">
        <v>159</v>
      </c>
      <c r="C163" s="42" t="s">
        <v>490</v>
      </c>
      <c r="D163" s="43" t="s">
        <v>2584</v>
      </c>
      <c r="E163" s="47" t="s">
        <v>1188</v>
      </c>
      <c r="F163" s="55" t="s">
        <v>1724</v>
      </c>
      <c r="G163" s="42" t="s">
        <v>24</v>
      </c>
      <c r="H163" s="42">
        <v>2021</v>
      </c>
    </row>
    <row r="164" spans="1:8" x14ac:dyDescent="0.25">
      <c r="A164" s="175">
        <v>225828</v>
      </c>
      <c r="B164" s="152" t="s">
        <v>54</v>
      </c>
      <c r="C164" s="138" t="s">
        <v>379</v>
      </c>
      <c r="D164" s="150" t="s">
        <v>2584</v>
      </c>
      <c r="E164" s="153" t="s">
        <v>1129</v>
      </c>
      <c r="F164" s="140" t="s">
        <v>1829</v>
      </c>
      <c r="G164" s="138" t="s">
        <v>1112</v>
      </c>
      <c r="H164" s="138">
        <v>2015</v>
      </c>
    </row>
    <row r="165" spans="1:8" x14ac:dyDescent="0.25">
      <c r="A165" s="258" t="s">
        <v>1967</v>
      </c>
      <c r="B165" s="44" t="s">
        <v>1977</v>
      </c>
      <c r="C165" s="45">
        <v>992793082001</v>
      </c>
      <c r="D165" s="46" t="s">
        <v>1978</v>
      </c>
      <c r="E165" s="56" t="s">
        <v>1979</v>
      </c>
      <c r="F165" s="57" t="s">
        <v>1764</v>
      </c>
      <c r="G165" s="45" t="s">
        <v>24</v>
      </c>
      <c r="H165" s="45">
        <v>2025</v>
      </c>
    </row>
    <row r="166" spans="1:8" x14ac:dyDescent="0.25">
      <c r="A166" s="175" t="s">
        <v>1968</v>
      </c>
      <c r="B166" s="41" t="s">
        <v>1977</v>
      </c>
      <c r="C166" s="42">
        <v>992793082001</v>
      </c>
      <c r="D166" s="43" t="s">
        <v>1978</v>
      </c>
      <c r="E166" s="59" t="s">
        <v>1979</v>
      </c>
      <c r="F166" s="55" t="s">
        <v>1764</v>
      </c>
      <c r="G166" s="42" t="s">
        <v>1973</v>
      </c>
      <c r="H166" s="138">
        <v>2025</v>
      </c>
    </row>
    <row r="167" spans="1:8" x14ac:dyDescent="0.25">
      <c r="A167" s="175" t="s">
        <v>296</v>
      </c>
      <c r="B167" s="41" t="s">
        <v>1730</v>
      </c>
      <c r="C167" s="42" t="s">
        <v>563</v>
      </c>
      <c r="D167" s="43" t="s">
        <v>2585</v>
      </c>
      <c r="E167" s="59" t="s">
        <v>1356</v>
      </c>
      <c r="F167" s="55" t="s">
        <v>1725</v>
      </c>
      <c r="G167" s="42" t="s">
        <v>24</v>
      </c>
      <c r="H167" s="138">
        <v>2021</v>
      </c>
    </row>
    <row r="168" spans="1:8" x14ac:dyDescent="0.25">
      <c r="A168" s="257" t="s">
        <v>180</v>
      </c>
      <c r="B168" s="41" t="s">
        <v>179</v>
      </c>
      <c r="C168" s="42" t="s">
        <v>515</v>
      </c>
      <c r="D168" s="43" t="s">
        <v>2585</v>
      </c>
      <c r="E168" s="59" t="s">
        <v>1356</v>
      </c>
      <c r="F168" s="55" t="s">
        <v>1725</v>
      </c>
      <c r="G168" s="42" t="s">
        <v>24</v>
      </c>
      <c r="H168" s="42">
        <v>2020</v>
      </c>
    </row>
    <row r="169" spans="1:8" x14ac:dyDescent="0.25">
      <c r="A169" s="257" t="s">
        <v>1474</v>
      </c>
      <c r="B169" s="41" t="s">
        <v>183</v>
      </c>
      <c r="C169" s="42" t="s">
        <v>522</v>
      </c>
      <c r="D169" s="43" t="s">
        <v>2586</v>
      </c>
      <c r="E169" s="59" t="s">
        <v>1392</v>
      </c>
      <c r="F169" s="55" t="s">
        <v>1725</v>
      </c>
      <c r="G169" s="42" t="s">
        <v>24</v>
      </c>
      <c r="H169" s="42">
        <v>2019</v>
      </c>
    </row>
    <row r="170" spans="1:8" x14ac:dyDescent="0.25">
      <c r="A170" s="257" t="s">
        <v>1922</v>
      </c>
      <c r="B170" s="41" t="s">
        <v>1734</v>
      </c>
      <c r="C170" s="42" t="s">
        <v>1735</v>
      </c>
      <c r="D170" s="43" t="s">
        <v>2586</v>
      </c>
      <c r="E170" s="47" t="s">
        <v>1952</v>
      </c>
      <c r="F170" s="55" t="s">
        <v>1725</v>
      </c>
      <c r="G170" s="42" t="s">
        <v>24</v>
      </c>
      <c r="H170" s="42">
        <v>2024</v>
      </c>
    </row>
    <row r="171" spans="1:8" x14ac:dyDescent="0.25">
      <c r="A171" s="257" t="s">
        <v>1923</v>
      </c>
      <c r="B171" s="41" t="s">
        <v>1734</v>
      </c>
      <c r="C171" s="42" t="s">
        <v>1735</v>
      </c>
      <c r="D171" s="43" t="s">
        <v>2586</v>
      </c>
      <c r="E171" s="47" t="s">
        <v>1952</v>
      </c>
      <c r="F171" s="55" t="s">
        <v>1725</v>
      </c>
      <c r="G171" s="42" t="s">
        <v>24</v>
      </c>
      <c r="H171" s="42">
        <v>2024</v>
      </c>
    </row>
    <row r="172" spans="1:8" x14ac:dyDescent="0.25">
      <c r="A172" s="257">
        <v>228717</v>
      </c>
      <c r="B172" s="41" t="s">
        <v>1079</v>
      </c>
      <c r="C172" s="42" t="s">
        <v>1080</v>
      </c>
      <c r="D172" s="43" t="s">
        <v>925</v>
      </c>
      <c r="E172" s="47" t="s">
        <v>1344</v>
      </c>
      <c r="F172" s="55" t="s">
        <v>1745</v>
      </c>
      <c r="G172" s="42" t="s">
        <v>926</v>
      </c>
      <c r="H172" s="42">
        <v>2017</v>
      </c>
    </row>
    <row r="173" spans="1:8" x14ac:dyDescent="0.25">
      <c r="A173" s="257" t="s">
        <v>1345</v>
      </c>
      <c r="B173" s="41" t="s">
        <v>1079</v>
      </c>
      <c r="C173" s="42" t="s">
        <v>1080</v>
      </c>
      <c r="D173" s="43" t="s">
        <v>925</v>
      </c>
      <c r="E173" s="59" t="s">
        <v>1344</v>
      </c>
      <c r="F173" s="55" t="s">
        <v>1745</v>
      </c>
      <c r="G173" s="42" t="s">
        <v>24</v>
      </c>
      <c r="H173" s="42">
        <v>2022</v>
      </c>
    </row>
    <row r="174" spans="1:8" x14ac:dyDescent="0.25">
      <c r="A174" s="257">
        <v>231547</v>
      </c>
      <c r="B174" s="41" t="s">
        <v>119</v>
      </c>
      <c r="C174" s="42" t="s">
        <v>456</v>
      </c>
      <c r="D174" s="43" t="s">
        <v>1788</v>
      </c>
      <c r="E174" s="47" t="s">
        <v>1154</v>
      </c>
      <c r="F174" s="55" t="s">
        <v>1725</v>
      </c>
      <c r="G174" s="42" t="s">
        <v>926</v>
      </c>
      <c r="H174" s="42">
        <v>2019</v>
      </c>
    </row>
    <row r="175" spans="1:8" x14ac:dyDescent="0.25">
      <c r="A175" s="257" t="s">
        <v>1499</v>
      </c>
      <c r="B175" s="41" t="s">
        <v>1444</v>
      </c>
      <c r="C175" s="42" t="s">
        <v>521</v>
      </c>
      <c r="D175" s="43" t="s">
        <v>1788</v>
      </c>
      <c r="E175" s="59" t="s">
        <v>1332</v>
      </c>
      <c r="F175" s="55" t="s">
        <v>1724</v>
      </c>
      <c r="G175" s="42" t="s">
        <v>37</v>
      </c>
      <c r="H175" s="42">
        <v>2019</v>
      </c>
    </row>
    <row r="176" spans="1:8" x14ac:dyDescent="0.25">
      <c r="A176" s="257" t="s">
        <v>1500</v>
      </c>
      <c r="B176" s="41" t="s">
        <v>1444</v>
      </c>
      <c r="C176" s="42" t="s">
        <v>521</v>
      </c>
      <c r="D176" s="43" t="s">
        <v>1788</v>
      </c>
      <c r="E176" s="59" t="s">
        <v>1651</v>
      </c>
      <c r="F176" s="55" t="s">
        <v>1724</v>
      </c>
      <c r="G176" s="42" t="s">
        <v>1680</v>
      </c>
      <c r="H176" s="42">
        <v>2023</v>
      </c>
    </row>
    <row r="177" spans="1:8" x14ac:dyDescent="0.25">
      <c r="A177" s="257" t="s">
        <v>1865</v>
      </c>
      <c r="B177" s="41" t="s">
        <v>1787</v>
      </c>
      <c r="C177" s="42" t="s">
        <v>2528</v>
      </c>
      <c r="D177" s="43" t="s">
        <v>1788</v>
      </c>
      <c r="E177" s="59"/>
      <c r="F177" s="55" t="s">
        <v>1724</v>
      </c>
      <c r="G177" s="42" t="s">
        <v>37</v>
      </c>
      <c r="H177" s="42">
        <v>2024</v>
      </c>
    </row>
    <row r="178" spans="1:8" x14ac:dyDescent="0.25">
      <c r="A178" s="257" t="s">
        <v>1533</v>
      </c>
      <c r="B178" s="41" t="s">
        <v>173</v>
      </c>
      <c r="C178" s="42" t="s">
        <v>503</v>
      </c>
      <c r="D178" s="43" t="s">
        <v>1788</v>
      </c>
      <c r="E178" s="59" t="s">
        <v>1266</v>
      </c>
      <c r="F178" s="55" t="s">
        <v>1725</v>
      </c>
      <c r="G178" s="42" t="s">
        <v>24</v>
      </c>
      <c r="H178" s="42">
        <v>2019</v>
      </c>
    </row>
    <row r="179" spans="1:8" x14ac:dyDescent="0.25">
      <c r="A179" s="257" t="s">
        <v>1535</v>
      </c>
      <c r="B179" s="41" t="s">
        <v>1056</v>
      </c>
      <c r="C179" s="42" t="s">
        <v>504</v>
      </c>
      <c r="D179" s="43" t="s">
        <v>1788</v>
      </c>
      <c r="E179" s="59" t="s">
        <v>1258</v>
      </c>
      <c r="F179" s="55" t="s">
        <v>1786</v>
      </c>
      <c r="G179" s="42" t="s">
        <v>37</v>
      </c>
      <c r="H179" s="42">
        <v>2019</v>
      </c>
    </row>
    <row r="180" spans="1:8" x14ac:dyDescent="0.25">
      <c r="A180" s="257" t="s">
        <v>1547</v>
      </c>
      <c r="B180" s="41" t="s">
        <v>2425</v>
      </c>
      <c r="C180" s="42" t="s">
        <v>510</v>
      </c>
      <c r="D180" s="43" t="s">
        <v>1788</v>
      </c>
      <c r="E180" s="47"/>
      <c r="F180" s="55" t="s">
        <v>1725</v>
      </c>
      <c r="G180" s="42" t="s">
        <v>24</v>
      </c>
      <c r="H180" s="42">
        <v>2019</v>
      </c>
    </row>
    <row r="181" spans="1:8" x14ac:dyDescent="0.25">
      <c r="A181" s="175">
        <v>225859</v>
      </c>
      <c r="B181" s="152" t="s">
        <v>91</v>
      </c>
      <c r="C181" s="138" t="s">
        <v>419</v>
      </c>
      <c r="D181" s="150" t="s">
        <v>2587</v>
      </c>
      <c r="E181" s="156" t="s">
        <v>2539</v>
      </c>
      <c r="F181" s="140" t="s">
        <v>1732</v>
      </c>
      <c r="G181" s="138" t="s">
        <v>886</v>
      </c>
      <c r="H181" s="138">
        <v>2015</v>
      </c>
    </row>
    <row r="182" spans="1:8" x14ac:dyDescent="0.25">
      <c r="A182" s="257" t="s">
        <v>1966</v>
      </c>
      <c r="B182" s="41" t="s">
        <v>68</v>
      </c>
      <c r="C182" s="42" t="s">
        <v>390</v>
      </c>
      <c r="D182" s="43" t="s">
        <v>2587</v>
      </c>
      <c r="E182" s="59" t="s">
        <v>2539</v>
      </c>
      <c r="F182" s="55" t="s">
        <v>1732</v>
      </c>
      <c r="G182" s="42" t="s">
        <v>926</v>
      </c>
      <c r="H182" s="42">
        <v>2009</v>
      </c>
    </row>
    <row r="183" spans="1:8" x14ac:dyDescent="0.25">
      <c r="A183" s="257" t="s">
        <v>1284</v>
      </c>
      <c r="B183" s="41" t="s">
        <v>1059</v>
      </c>
      <c r="C183" s="42" t="s">
        <v>931</v>
      </c>
      <c r="D183" s="43" t="s">
        <v>932</v>
      </c>
      <c r="E183" s="59" t="s">
        <v>1270</v>
      </c>
      <c r="F183" s="55" t="s">
        <v>1783</v>
      </c>
      <c r="G183" s="42" t="s">
        <v>37</v>
      </c>
      <c r="H183" s="42">
        <v>2021</v>
      </c>
    </row>
    <row r="184" spans="1:8" x14ac:dyDescent="0.25">
      <c r="A184" s="257" t="s">
        <v>286</v>
      </c>
      <c r="B184" s="41" t="s">
        <v>1059</v>
      </c>
      <c r="C184" s="42" t="s">
        <v>931</v>
      </c>
      <c r="D184" s="43" t="s">
        <v>932</v>
      </c>
      <c r="E184" s="59" t="s">
        <v>1270</v>
      </c>
      <c r="F184" s="55" t="s">
        <v>1783</v>
      </c>
      <c r="G184" s="42" t="s">
        <v>37</v>
      </c>
      <c r="H184" s="42">
        <v>2021</v>
      </c>
    </row>
    <row r="185" spans="1:8" x14ac:dyDescent="0.25">
      <c r="A185" s="257" t="s">
        <v>1964</v>
      </c>
      <c r="B185" s="41" t="s">
        <v>1059</v>
      </c>
      <c r="C185" s="42" t="s">
        <v>931</v>
      </c>
      <c r="D185" s="43" t="s">
        <v>932</v>
      </c>
      <c r="E185" s="59" t="s">
        <v>1270</v>
      </c>
      <c r="F185" s="55" t="s">
        <v>1783</v>
      </c>
      <c r="G185" s="42" t="s">
        <v>37</v>
      </c>
      <c r="H185" s="42">
        <v>2025</v>
      </c>
    </row>
    <row r="186" spans="1:8" x14ac:dyDescent="0.25">
      <c r="A186" s="257" t="s">
        <v>1965</v>
      </c>
      <c r="B186" s="41" t="s">
        <v>1059</v>
      </c>
      <c r="C186" s="42" t="s">
        <v>931</v>
      </c>
      <c r="D186" s="43" t="s">
        <v>932</v>
      </c>
      <c r="E186" s="59" t="s">
        <v>1270</v>
      </c>
      <c r="F186" s="55" t="s">
        <v>1783</v>
      </c>
      <c r="G186" s="42" t="s">
        <v>37</v>
      </c>
      <c r="H186" s="42">
        <v>2025</v>
      </c>
    </row>
    <row r="187" spans="1:8" x14ac:dyDescent="0.25">
      <c r="A187" s="257" t="s">
        <v>1271</v>
      </c>
      <c r="B187" s="41" t="s">
        <v>1058</v>
      </c>
      <c r="C187" s="42" t="s">
        <v>931</v>
      </c>
      <c r="D187" s="43" t="s">
        <v>932</v>
      </c>
      <c r="E187" s="47" t="s">
        <v>1270</v>
      </c>
      <c r="F187" s="55" t="s">
        <v>1783</v>
      </c>
      <c r="G187" s="42" t="s">
        <v>37</v>
      </c>
      <c r="H187" s="42">
        <v>2021</v>
      </c>
    </row>
    <row r="188" spans="1:8" x14ac:dyDescent="0.25">
      <c r="A188" s="258" t="s">
        <v>1282</v>
      </c>
      <c r="B188" s="44" t="s">
        <v>1058</v>
      </c>
      <c r="C188" s="45" t="s">
        <v>931</v>
      </c>
      <c r="D188" s="46" t="s">
        <v>932</v>
      </c>
      <c r="E188" s="56" t="s">
        <v>1270</v>
      </c>
      <c r="F188" s="57" t="s">
        <v>1783</v>
      </c>
      <c r="G188" s="45" t="s">
        <v>37</v>
      </c>
      <c r="H188" s="45">
        <v>2022</v>
      </c>
    </row>
    <row r="189" spans="1:8" x14ac:dyDescent="0.25">
      <c r="A189" s="257" t="s">
        <v>1283</v>
      </c>
      <c r="B189" s="41" t="s">
        <v>1058</v>
      </c>
      <c r="C189" s="42" t="s">
        <v>931</v>
      </c>
      <c r="D189" s="43" t="s">
        <v>932</v>
      </c>
      <c r="E189" s="59" t="s">
        <v>1270</v>
      </c>
      <c r="F189" s="55" t="s">
        <v>1783</v>
      </c>
      <c r="G189" s="42" t="s">
        <v>37</v>
      </c>
      <c r="H189" s="42">
        <v>2022</v>
      </c>
    </row>
    <row r="190" spans="1:8" x14ac:dyDescent="0.25">
      <c r="A190" s="257" t="s">
        <v>1220</v>
      </c>
      <c r="B190" s="41" t="s">
        <v>1058</v>
      </c>
      <c r="C190" s="42" t="s">
        <v>931</v>
      </c>
      <c r="D190" s="43" t="s">
        <v>932</v>
      </c>
      <c r="E190" s="59" t="s">
        <v>1270</v>
      </c>
      <c r="F190" s="55" t="s">
        <v>1783</v>
      </c>
      <c r="G190" s="42" t="s">
        <v>37</v>
      </c>
      <c r="H190" s="42">
        <v>2022</v>
      </c>
    </row>
    <row r="191" spans="1:8" x14ac:dyDescent="0.25">
      <c r="A191" s="257" t="s">
        <v>1867</v>
      </c>
      <c r="B191" s="41" t="s">
        <v>1058</v>
      </c>
      <c r="C191" s="42" t="s">
        <v>931</v>
      </c>
      <c r="D191" s="43" t="s">
        <v>932</v>
      </c>
      <c r="E191" s="47" t="s">
        <v>1270</v>
      </c>
      <c r="F191" s="55" t="s">
        <v>1783</v>
      </c>
      <c r="G191" s="42" t="s">
        <v>37</v>
      </c>
      <c r="H191" s="42">
        <v>2022</v>
      </c>
    </row>
    <row r="192" spans="1:8" x14ac:dyDescent="0.25">
      <c r="A192" s="257" t="s">
        <v>1523</v>
      </c>
      <c r="B192" s="41" t="s">
        <v>1058</v>
      </c>
      <c r="C192" s="42" t="s">
        <v>931</v>
      </c>
      <c r="D192" s="43" t="s">
        <v>932</v>
      </c>
      <c r="E192" s="47" t="s">
        <v>1270</v>
      </c>
      <c r="F192" s="55" t="s">
        <v>1783</v>
      </c>
      <c r="G192" s="42" t="s">
        <v>37</v>
      </c>
      <c r="H192" s="42">
        <v>2022</v>
      </c>
    </row>
    <row r="193" spans="1:8" x14ac:dyDescent="0.25">
      <c r="A193" s="257" t="s">
        <v>1866</v>
      </c>
      <c r="B193" s="41" t="s">
        <v>1058</v>
      </c>
      <c r="C193" s="42" t="s">
        <v>931</v>
      </c>
      <c r="D193" s="43" t="s">
        <v>932</v>
      </c>
      <c r="E193" s="47" t="s">
        <v>1270</v>
      </c>
      <c r="F193" s="55" t="s">
        <v>1783</v>
      </c>
      <c r="G193" s="42" t="s">
        <v>37</v>
      </c>
      <c r="H193" s="42">
        <v>2022</v>
      </c>
    </row>
    <row r="194" spans="1:8" x14ac:dyDescent="0.25">
      <c r="A194" s="257" t="s">
        <v>1928</v>
      </c>
      <c r="B194" s="41" t="s">
        <v>1789</v>
      </c>
      <c r="C194" s="42" t="s">
        <v>931</v>
      </c>
      <c r="D194" s="43" t="s">
        <v>932</v>
      </c>
      <c r="E194" s="59"/>
      <c r="F194" s="55" t="s">
        <v>1790</v>
      </c>
      <c r="G194" s="42" t="s">
        <v>260</v>
      </c>
      <c r="H194" s="42">
        <v>2024</v>
      </c>
    </row>
    <row r="195" spans="1:8" x14ac:dyDescent="0.25">
      <c r="A195" s="257" t="s">
        <v>317</v>
      </c>
      <c r="B195" s="41" t="s">
        <v>2426</v>
      </c>
      <c r="C195" s="42" t="s">
        <v>567</v>
      </c>
      <c r="D195" s="43" t="s">
        <v>2588</v>
      </c>
      <c r="E195" s="59" t="s">
        <v>1240</v>
      </c>
      <c r="F195" s="55" t="s">
        <v>1725</v>
      </c>
      <c r="G195" s="42" t="s">
        <v>24</v>
      </c>
      <c r="H195" s="42">
        <v>2021</v>
      </c>
    </row>
    <row r="196" spans="1:8" x14ac:dyDescent="0.25">
      <c r="A196" s="257" t="s">
        <v>2388</v>
      </c>
      <c r="B196" s="47" t="s">
        <v>2427</v>
      </c>
      <c r="C196" s="42" t="s">
        <v>2529</v>
      </c>
      <c r="D196" s="43" t="s">
        <v>2588</v>
      </c>
      <c r="E196" s="59" t="s">
        <v>2540</v>
      </c>
      <c r="F196" s="55" t="s">
        <v>1724</v>
      </c>
      <c r="G196" s="42" t="s">
        <v>1973</v>
      </c>
      <c r="H196" s="42">
        <v>2025</v>
      </c>
    </row>
    <row r="197" spans="1:8" x14ac:dyDescent="0.25">
      <c r="A197" s="257" t="s">
        <v>1966</v>
      </c>
      <c r="B197" s="41" t="s">
        <v>57</v>
      </c>
      <c r="C197" s="42" t="s">
        <v>382</v>
      </c>
      <c r="D197" s="43" t="s">
        <v>892</v>
      </c>
      <c r="E197" s="47"/>
      <c r="F197" s="55" t="s">
        <v>1732</v>
      </c>
      <c r="G197" s="42" t="s">
        <v>926</v>
      </c>
      <c r="H197" s="42">
        <v>2011</v>
      </c>
    </row>
    <row r="198" spans="1:8" x14ac:dyDescent="0.25">
      <c r="A198" s="257" t="s">
        <v>200</v>
      </c>
      <c r="B198" s="41" t="s">
        <v>2428</v>
      </c>
      <c r="C198" s="42" t="s">
        <v>529</v>
      </c>
      <c r="D198" s="43" t="s">
        <v>892</v>
      </c>
      <c r="E198" s="47" t="s">
        <v>1122</v>
      </c>
      <c r="F198" s="55" t="s">
        <v>1732</v>
      </c>
      <c r="G198" s="42" t="s">
        <v>24</v>
      </c>
      <c r="H198" s="42">
        <v>2020</v>
      </c>
    </row>
    <row r="199" spans="1:8" x14ac:dyDescent="0.25">
      <c r="A199" s="257">
        <v>227147</v>
      </c>
      <c r="B199" s="41" t="s">
        <v>61</v>
      </c>
      <c r="C199" s="42" t="s">
        <v>385</v>
      </c>
      <c r="D199" s="43" t="s">
        <v>892</v>
      </c>
      <c r="E199" s="59"/>
      <c r="F199" s="55" t="s">
        <v>1732</v>
      </c>
      <c r="G199" s="42" t="s">
        <v>926</v>
      </c>
      <c r="H199" s="42">
        <v>2016</v>
      </c>
    </row>
    <row r="200" spans="1:8" x14ac:dyDescent="0.25">
      <c r="A200" s="257">
        <v>225779</v>
      </c>
      <c r="B200" s="41" t="s">
        <v>2429</v>
      </c>
      <c r="C200" s="42" t="s">
        <v>391</v>
      </c>
      <c r="D200" s="43" t="s">
        <v>892</v>
      </c>
      <c r="E200" s="59" t="s">
        <v>1176</v>
      </c>
      <c r="F200" s="55" t="s">
        <v>1732</v>
      </c>
      <c r="G200" s="42" t="s">
        <v>926</v>
      </c>
      <c r="H200" s="42">
        <v>2015</v>
      </c>
    </row>
    <row r="201" spans="1:8" x14ac:dyDescent="0.25">
      <c r="A201" s="257">
        <v>229756</v>
      </c>
      <c r="B201" s="41" t="s">
        <v>75</v>
      </c>
      <c r="C201" s="42" t="s">
        <v>400</v>
      </c>
      <c r="D201" s="43" t="s">
        <v>892</v>
      </c>
      <c r="E201" s="47" t="s">
        <v>1346</v>
      </c>
      <c r="F201" s="55" t="s">
        <v>1732</v>
      </c>
      <c r="G201" s="42" t="s">
        <v>926</v>
      </c>
      <c r="H201" s="42">
        <v>2017</v>
      </c>
    </row>
    <row r="202" spans="1:8" x14ac:dyDescent="0.25">
      <c r="A202" s="257" t="s">
        <v>1966</v>
      </c>
      <c r="B202" s="41" t="s">
        <v>70</v>
      </c>
      <c r="C202" s="42" t="s">
        <v>393</v>
      </c>
      <c r="D202" s="43" t="s">
        <v>892</v>
      </c>
      <c r="E202" s="47"/>
      <c r="F202" s="55" t="s">
        <v>1732</v>
      </c>
      <c r="G202" s="42" t="s">
        <v>926</v>
      </c>
      <c r="H202" s="42">
        <v>2012</v>
      </c>
    </row>
    <row r="203" spans="1:8" x14ac:dyDescent="0.25">
      <c r="A203" s="257" t="s">
        <v>1875</v>
      </c>
      <c r="B203" s="41" t="s">
        <v>1801</v>
      </c>
      <c r="C203" s="42" t="s">
        <v>1802</v>
      </c>
      <c r="D203" s="43" t="s">
        <v>1054</v>
      </c>
      <c r="E203" s="47" t="s">
        <v>1803</v>
      </c>
      <c r="F203" s="55" t="s">
        <v>1724</v>
      </c>
      <c r="G203" s="42" t="s">
        <v>24</v>
      </c>
      <c r="H203" s="42">
        <v>2024</v>
      </c>
    </row>
    <row r="204" spans="1:8" x14ac:dyDescent="0.25">
      <c r="A204" s="257" t="s">
        <v>1876</v>
      </c>
      <c r="B204" s="41" t="s">
        <v>1801</v>
      </c>
      <c r="C204" s="42" t="s">
        <v>1802</v>
      </c>
      <c r="D204" s="43" t="s">
        <v>1054</v>
      </c>
      <c r="E204" s="47" t="s">
        <v>1803</v>
      </c>
      <c r="F204" s="55" t="s">
        <v>1724</v>
      </c>
      <c r="G204" s="42" t="s">
        <v>260</v>
      </c>
      <c r="H204" s="42">
        <v>2024</v>
      </c>
    </row>
    <row r="205" spans="1:8" x14ac:dyDescent="0.25">
      <c r="A205" s="257">
        <v>229292</v>
      </c>
      <c r="B205" s="41" t="s">
        <v>166</v>
      </c>
      <c r="C205" s="42" t="s">
        <v>496</v>
      </c>
      <c r="D205" s="43" t="s">
        <v>1054</v>
      </c>
      <c r="E205" s="59" t="s">
        <v>1115</v>
      </c>
      <c r="F205" s="55" t="s">
        <v>1745</v>
      </c>
      <c r="G205" s="42" t="s">
        <v>926</v>
      </c>
      <c r="H205" s="42">
        <v>2017</v>
      </c>
    </row>
    <row r="206" spans="1:8" x14ac:dyDescent="0.25">
      <c r="A206" s="257">
        <v>221534</v>
      </c>
      <c r="B206" s="41" t="s">
        <v>43</v>
      </c>
      <c r="C206" s="42" t="s">
        <v>363</v>
      </c>
      <c r="D206" s="43" t="s">
        <v>1054</v>
      </c>
      <c r="E206" s="59" t="s">
        <v>1305</v>
      </c>
      <c r="F206" s="55" t="s">
        <v>1724</v>
      </c>
      <c r="G206" s="42" t="s">
        <v>886</v>
      </c>
      <c r="H206" s="42">
        <v>2011</v>
      </c>
    </row>
    <row r="207" spans="1:8" x14ac:dyDescent="0.25">
      <c r="A207" s="257">
        <v>222868</v>
      </c>
      <c r="B207" s="41" t="s">
        <v>43</v>
      </c>
      <c r="C207" s="42" t="s">
        <v>363</v>
      </c>
      <c r="D207" s="43" t="s">
        <v>1054</v>
      </c>
      <c r="E207" s="59" t="s">
        <v>1305</v>
      </c>
      <c r="F207" s="55" t="s">
        <v>1724</v>
      </c>
      <c r="G207" s="42" t="s">
        <v>886</v>
      </c>
      <c r="H207" s="42">
        <v>2011</v>
      </c>
    </row>
    <row r="208" spans="1:8" x14ac:dyDescent="0.25">
      <c r="A208" s="257">
        <v>228141</v>
      </c>
      <c r="B208" s="41" t="s">
        <v>121</v>
      </c>
      <c r="C208" s="42" t="s">
        <v>458</v>
      </c>
      <c r="D208" s="43" t="s">
        <v>1054</v>
      </c>
      <c r="E208" s="59"/>
      <c r="F208" s="55" t="s">
        <v>1745</v>
      </c>
      <c r="G208" s="42" t="s">
        <v>1112</v>
      </c>
      <c r="H208" s="42">
        <v>2016</v>
      </c>
    </row>
    <row r="209" spans="1:8" x14ac:dyDescent="0.25">
      <c r="A209" s="257" t="s">
        <v>1871</v>
      </c>
      <c r="B209" s="41" t="s">
        <v>1796</v>
      </c>
      <c r="C209" s="42" t="s">
        <v>558</v>
      </c>
      <c r="D209" s="43" t="s">
        <v>2589</v>
      </c>
      <c r="E209" s="59" t="s">
        <v>2541</v>
      </c>
      <c r="F209" s="55" t="s">
        <v>1725</v>
      </c>
      <c r="G209" s="42" t="s">
        <v>24</v>
      </c>
      <c r="H209" s="42">
        <v>2024</v>
      </c>
    </row>
    <row r="210" spans="1:8" x14ac:dyDescent="0.25">
      <c r="A210" s="257" t="s">
        <v>1966</v>
      </c>
      <c r="B210" s="41" t="s">
        <v>2430</v>
      </c>
      <c r="C210" s="42" t="s">
        <v>439</v>
      </c>
      <c r="D210" s="43" t="s">
        <v>919</v>
      </c>
      <c r="E210" s="154"/>
      <c r="F210" s="55" t="s">
        <v>1724</v>
      </c>
      <c r="G210" s="42" t="s">
        <v>926</v>
      </c>
      <c r="H210" s="42">
        <v>2011</v>
      </c>
    </row>
    <row r="211" spans="1:8" x14ac:dyDescent="0.25">
      <c r="A211" s="257" t="s">
        <v>219</v>
      </c>
      <c r="B211" s="41" t="s">
        <v>1050</v>
      </c>
      <c r="C211" s="42" t="s">
        <v>537</v>
      </c>
      <c r="D211" s="43" t="s">
        <v>919</v>
      </c>
      <c r="E211" s="59" t="s">
        <v>1665</v>
      </c>
      <c r="F211" s="55" t="s">
        <v>1810</v>
      </c>
      <c r="G211" s="42" t="s">
        <v>24</v>
      </c>
      <c r="H211" s="42">
        <v>2021</v>
      </c>
    </row>
    <row r="212" spans="1:8" x14ac:dyDescent="0.25">
      <c r="A212" s="257">
        <v>220304</v>
      </c>
      <c r="B212" s="41" t="s">
        <v>2431</v>
      </c>
      <c r="C212" s="42" t="s">
        <v>439</v>
      </c>
      <c r="D212" s="43" t="s">
        <v>919</v>
      </c>
      <c r="E212" s="47" t="s">
        <v>2542</v>
      </c>
      <c r="F212" s="55" t="s">
        <v>1739</v>
      </c>
      <c r="G212" s="42" t="s">
        <v>2616</v>
      </c>
      <c r="H212" s="42">
        <v>2011</v>
      </c>
    </row>
    <row r="213" spans="1:8" x14ac:dyDescent="0.25">
      <c r="A213" s="257" t="s">
        <v>1960</v>
      </c>
      <c r="B213" s="41" t="s">
        <v>1970</v>
      </c>
      <c r="C213" s="42">
        <v>20411808972</v>
      </c>
      <c r="D213" s="43" t="s">
        <v>1971</v>
      </c>
      <c r="E213" s="59" t="s">
        <v>1972</v>
      </c>
      <c r="F213" s="55" t="s">
        <v>1739</v>
      </c>
      <c r="G213" s="42" t="s">
        <v>1973</v>
      </c>
      <c r="H213" s="42">
        <v>2025</v>
      </c>
    </row>
    <row r="214" spans="1:8" x14ac:dyDescent="0.25">
      <c r="A214" s="257" t="s">
        <v>1961</v>
      </c>
      <c r="B214" s="41" t="s">
        <v>1970</v>
      </c>
      <c r="C214" s="42">
        <v>20411808972</v>
      </c>
      <c r="D214" s="43" t="s">
        <v>1971</v>
      </c>
      <c r="E214" s="59" t="s">
        <v>1974</v>
      </c>
      <c r="F214" s="55" t="s">
        <v>1739</v>
      </c>
      <c r="G214" s="42" t="s">
        <v>260</v>
      </c>
      <c r="H214" s="42">
        <v>2025</v>
      </c>
    </row>
    <row r="215" spans="1:8" x14ac:dyDescent="0.25">
      <c r="A215" s="257" t="s">
        <v>1458</v>
      </c>
      <c r="B215" s="41" t="s">
        <v>1427</v>
      </c>
      <c r="C215" s="42" t="s">
        <v>1574</v>
      </c>
      <c r="D215" s="43" t="s">
        <v>2590</v>
      </c>
      <c r="E215" s="47" t="s">
        <v>1614</v>
      </c>
      <c r="F215" s="55" t="s">
        <v>1731</v>
      </c>
      <c r="G215" s="42" t="s">
        <v>24</v>
      </c>
      <c r="H215" s="42">
        <v>2023</v>
      </c>
    </row>
    <row r="216" spans="1:8" x14ac:dyDescent="0.25">
      <c r="A216" s="260" t="s">
        <v>1836</v>
      </c>
      <c r="B216" s="41" t="s">
        <v>62</v>
      </c>
      <c r="C216" s="42" t="s">
        <v>386</v>
      </c>
      <c r="D216" s="43" t="s">
        <v>1723</v>
      </c>
      <c r="E216" s="59" t="s">
        <v>1945</v>
      </c>
      <c r="F216" s="55" t="s">
        <v>1724</v>
      </c>
      <c r="G216" s="42" t="s">
        <v>182</v>
      </c>
      <c r="H216" s="42">
        <v>2024</v>
      </c>
    </row>
    <row r="217" spans="1:8" x14ac:dyDescent="0.25">
      <c r="A217" s="261" t="s">
        <v>1835</v>
      </c>
      <c r="B217" s="41" t="s">
        <v>62</v>
      </c>
      <c r="C217" s="42" t="s">
        <v>386</v>
      </c>
      <c r="D217" s="43" t="s">
        <v>1723</v>
      </c>
      <c r="E217" s="47" t="s">
        <v>1946</v>
      </c>
      <c r="F217" s="55" t="s">
        <v>1724</v>
      </c>
      <c r="G217" s="42" t="s">
        <v>182</v>
      </c>
      <c r="H217" s="142">
        <v>2024</v>
      </c>
    </row>
    <row r="218" spans="1:8" x14ac:dyDescent="0.25">
      <c r="A218" s="256" t="s">
        <v>1834</v>
      </c>
      <c r="B218" s="41" t="s">
        <v>62</v>
      </c>
      <c r="C218" s="42" t="s">
        <v>386</v>
      </c>
      <c r="D218" s="43" t="s">
        <v>1723</v>
      </c>
      <c r="E218" s="59" t="s">
        <v>1950</v>
      </c>
      <c r="F218" s="55" t="s">
        <v>1724</v>
      </c>
      <c r="G218" s="42" t="s">
        <v>37</v>
      </c>
      <c r="H218" s="42">
        <v>2024</v>
      </c>
    </row>
    <row r="219" spans="1:8" x14ac:dyDescent="0.25">
      <c r="A219" s="175" t="s">
        <v>1833</v>
      </c>
      <c r="B219" s="152" t="s">
        <v>62</v>
      </c>
      <c r="C219" s="138" t="s">
        <v>386</v>
      </c>
      <c r="D219" s="150" t="s">
        <v>1723</v>
      </c>
      <c r="E219" s="153" t="s">
        <v>1951</v>
      </c>
      <c r="F219" s="140" t="s">
        <v>1724</v>
      </c>
      <c r="G219" s="138" t="s">
        <v>37</v>
      </c>
      <c r="H219" s="138">
        <v>2024</v>
      </c>
    </row>
    <row r="220" spans="1:8" x14ac:dyDescent="0.25">
      <c r="A220" s="257" t="s">
        <v>2017</v>
      </c>
      <c r="B220" s="41" t="s">
        <v>62</v>
      </c>
      <c r="C220" s="42" t="s">
        <v>386</v>
      </c>
      <c r="D220" s="43" t="s">
        <v>1723</v>
      </c>
      <c r="E220" s="59" t="s">
        <v>1951</v>
      </c>
      <c r="F220" s="55" t="s">
        <v>1724</v>
      </c>
      <c r="G220" s="42" t="s">
        <v>260</v>
      </c>
      <c r="H220" s="42">
        <v>2025</v>
      </c>
    </row>
    <row r="221" spans="1:8" x14ac:dyDescent="0.25">
      <c r="A221" s="257" t="s">
        <v>2018</v>
      </c>
      <c r="B221" s="41" t="s">
        <v>62</v>
      </c>
      <c r="C221" s="42" t="s">
        <v>386</v>
      </c>
      <c r="D221" s="43" t="s">
        <v>1723</v>
      </c>
      <c r="E221" s="47" t="s">
        <v>1951</v>
      </c>
      <c r="F221" s="55" t="s">
        <v>1724</v>
      </c>
      <c r="G221" s="42" t="s">
        <v>37</v>
      </c>
      <c r="H221" s="42">
        <v>2025</v>
      </c>
    </row>
    <row r="222" spans="1:8" x14ac:dyDescent="0.25">
      <c r="A222" s="257" t="s">
        <v>2019</v>
      </c>
      <c r="B222" s="41" t="s">
        <v>62</v>
      </c>
      <c r="C222" s="42" t="s">
        <v>386</v>
      </c>
      <c r="D222" s="43" t="s">
        <v>1723</v>
      </c>
      <c r="E222" s="59" t="s">
        <v>1951</v>
      </c>
      <c r="F222" s="55" t="s">
        <v>1724</v>
      </c>
      <c r="G222" s="42" t="s">
        <v>37</v>
      </c>
      <c r="H222" s="42">
        <v>2025</v>
      </c>
    </row>
    <row r="223" spans="1:8" x14ac:dyDescent="0.25">
      <c r="A223" s="257" t="s">
        <v>290</v>
      </c>
      <c r="B223" s="41" t="s">
        <v>2432</v>
      </c>
      <c r="C223" s="42" t="s">
        <v>560</v>
      </c>
      <c r="D223" s="43" t="s">
        <v>1723</v>
      </c>
      <c r="E223" s="47" t="s">
        <v>1634</v>
      </c>
      <c r="F223" s="55" t="s">
        <v>1725</v>
      </c>
      <c r="G223" s="42" t="s">
        <v>24</v>
      </c>
      <c r="H223" s="42">
        <v>2021</v>
      </c>
    </row>
    <row r="224" spans="1:8" x14ac:dyDescent="0.25">
      <c r="A224" s="257" t="s">
        <v>1864</v>
      </c>
      <c r="B224" s="41" t="s">
        <v>2433</v>
      </c>
      <c r="C224" s="42" t="s">
        <v>1777</v>
      </c>
      <c r="D224" s="43" t="s">
        <v>1723</v>
      </c>
      <c r="E224" s="59" t="s">
        <v>2543</v>
      </c>
      <c r="F224" s="55" t="s">
        <v>1725</v>
      </c>
      <c r="G224" s="42" t="s">
        <v>24</v>
      </c>
      <c r="H224" s="42">
        <v>2024</v>
      </c>
    </row>
    <row r="225" spans="1:8" x14ac:dyDescent="0.25">
      <c r="A225" s="175" t="s">
        <v>1966</v>
      </c>
      <c r="B225" s="152" t="s">
        <v>140</v>
      </c>
      <c r="C225" s="138" t="s">
        <v>475</v>
      </c>
      <c r="D225" s="150" t="s">
        <v>1723</v>
      </c>
      <c r="E225" s="153"/>
      <c r="F225" s="140" t="s">
        <v>1732</v>
      </c>
      <c r="G225" s="138" t="s">
        <v>926</v>
      </c>
      <c r="H225" s="138">
        <v>2009</v>
      </c>
    </row>
    <row r="226" spans="1:8" x14ac:dyDescent="0.25">
      <c r="A226" s="257">
        <v>231044</v>
      </c>
      <c r="B226" s="157" t="s">
        <v>44</v>
      </c>
      <c r="C226" s="42" t="s">
        <v>366</v>
      </c>
      <c r="D226" s="43" t="s">
        <v>2591</v>
      </c>
      <c r="E226" s="47" t="s">
        <v>1241</v>
      </c>
      <c r="F226" s="55" t="s">
        <v>1725</v>
      </c>
      <c r="G226" s="42" t="s">
        <v>926</v>
      </c>
      <c r="H226" s="42">
        <v>2018</v>
      </c>
    </row>
    <row r="227" spans="1:8" x14ac:dyDescent="0.25">
      <c r="A227" s="257" t="s">
        <v>280</v>
      </c>
      <c r="B227" s="41" t="s">
        <v>279</v>
      </c>
      <c r="C227" s="42" t="s">
        <v>386</v>
      </c>
      <c r="D227" s="43" t="s">
        <v>2592</v>
      </c>
      <c r="E227" s="47" t="s">
        <v>1415</v>
      </c>
      <c r="F227" s="55" t="s">
        <v>1725</v>
      </c>
      <c r="G227" s="42" t="s">
        <v>24</v>
      </c>
      <c r="H227" s="42">
        <v>2021</v>
      </c>
    </row>
    <row r="228" spans="1:8" x14ac:dyDescent="0.25">
      <c r="A228" s="257" t="s">
        <v>1850</v>
      </c>
      <c r="B228" s="41" t="s">
        <v>1746</v>
      </c>
      <c r="C228" s="42" t="s">
        <v>1747</v>
      </c>
      <c r="D228" s="43" t="s">
        <v>2593</v>
      </c>
      <c r="E228" s="47" t="s">
        <v>1748</v>
      </c>
      <c r="F228" s="55" t="s">
        <v>1725</v>
      </c>
      <c r="G228" s="42" t="s">
        <v>24</v>
      </c>
      <c r="H228" s="42">
        <v>2024</v>
      </c>
    </row>
    <row r="229" spans="1:8" x14ac:dyDescent="0.25">
      <c r="A229" s="257" t="s">
        <v>233</v>
      </c>
      <c r="B229" s="41" t="s">
        <v>232</v>
      </c>
      <c r="C229" s="42" t="s">
        <v>541</v>
      </c>
      <c r="D229" s="43" t="s">
        <v>2593</v>
      </c>
      <c r="E229" s="47"/>
      <c r="F229" s="55" t="s">
        <v>1725</v>
      </c>
      <c r="G229" s="42" t="s">
        <v>24</v>
      </c>
      <c r="H229" s="42">
        <v>2020</v>
      </c>
    </row>
    <row r="230" spans="1:8" x14ac:dyDescent="0.25">
      <c r="A230" s="257" t="s">
        <v>2014</v>
      </c>
      <c r="B230" s="41" t="s">
        <v>2013</v>
      </c>
      <c r="C230" s="42" t="s">
        <v>2015</v>
      </c>
      <c r="D230" s="43" t="s">
        <v>2593</v>
      </c>
      <c r="E230" s="47" t="s">
        <v>2544</v>
      </c>
      <c r="F230" s="55" t="s">
        <v>1731</v>
      </c>
      <c r="G230" s="42" t="s">
        <v>24</v>
      </c>
      <c r="H230" s="42">
        <v>2025</v>
      </c>
    </row>
    <row r="231" spans="1:8" x14ac:dyDescent="0.25">
      <c r="A231" s="257" t="s">
        <v>231</v>
      </c>
      <c r="B231" s="41" t="s">
        <v>230</v>
      </c>
      <c r="C231" s="42" t="s">
        <v>416</v>
      </c>
      <c r="D231" s="43" t="s">
        <v>2593</v>
      </c>
      <c r="E231" s="59" t="s">
        <v>1169</v>
      </c>
      <c r="F231" s="55" t="s">
        <v>1732</v>
      </c>
      <c r="G231" s="42" t="s">
        <v>24</v>
      </c>
      <c r="H231" s="42">
        <v>2021</v>
      </c>
    </row>
    <row r="232" spans="1:8" x14ac:dyDescent="0.25">
      <c r="A232" s="257" t="s">
        <v>283</v>
      </c>
      <c r="B232" s="41" t="s">
        <v>230</v>
      </c>
      <c r="C232" s="42" t="s">
        <v>416</v>
      </c>
      <c r="D232" s="43" t="s">
        <v>2593</v>
      </c>
      <c r="E232" s="59" t="s">
        <v>1169</v>
      </c>
      <c r="F232" s="55" t="s">
        <v>1725</v>
      </c>
      <c r="G232" s="42" t="s">
        <v>37</v>
      </c>
      <c r="H232" s="42">
        <v>2021</v>
      </c>
    </row>
    <row r="233" spans="1:8" x14ac:dyDescent="0.25">
      <c r="A233" s="257" t="s">
        <v>282</v>
      </c>
      <c r="B233" s="41" t="s">
        <v>230</v>
      </c>
      <c r="C233" s="42" t="s">
        <v>416</v>
      </c>
      <c r="D233" s="43" t="s">
        <v>2593</v>
      </c>
      <c r="E233" s="47" t="s">
        <v>1169</v>
      </c>
      <c r="F233" s="55" t="s">
        <v>1725</v>
      </c>
      <c r="G233" s="42" t="s">
        <v>37</v>
      </c>
      <c r="H233" s="42">
        <v>2021</v>
      </c>
    </row>
    <row r="234" spans="1:8" x14ac:dyDescent="0.25">
      <c r="A234" s="257" t="s">
        <v>304</v>
      </c>
      <c r="B234" s="41" t="s">
        <v>230</v>
      </c>
      <c r="C234" s="42" t="s">
        <v>416</v>
      </c>
      <c r="D234" s="43" t="s">
        <v>2593</v>
      </c>
      <c r="E234" s="47" t="s">
        <v>1169</v>
      </c>
      <c r="F234" s="55" t="s">
        <v>1724</v>
      </c>
      <c r="G234" s="42" t="s">
        <v>37</v>
      </c>
      <c r="H234" s="42">
        <v>2021</v>
      </c>
    </row>
    <row r="235" spans="1:8" x14ac:dyDescent="0.25">
      <c r="A235" s="258" t="s">
        <v>303</v>
      </c>
      <c r="B235" s="44" t="s">
        <v>230</v>
      </c>
      <c r="C235" s="45" t="s">
        <v>416</v>
      </c>
      <c r="D235" s="46" t="s">
        <v>2593</v>
      </c>
      <c r="E235" s="56" t="s">
        <v>1169</v>
      </c>
      <c r="F235" s="57" t="s">
        <v>1724</v>
      </c>
      <c r="G235" s="45" t="s">
        <v>37</v>
      </c>
      <c r="H235" s="45">
        <v>2021</v>
      </c>
    </row>
    <row r="236" spans="1:8" x14ac:dyDescent="0.25">
      <c r="A236" s="258">
        <v>230060</v>
      </c>
      <c r="B236" s="44" t="s">
        <v>87</v>
      </c>
      <c r="C236" s="45" t="s">
        <v>416</v>
      </c>
      <c r="D236" s="46" t="s">
        <v>2593</v>
      </c>
      <c r="E236" s="56" t="s">
        <v>1169</v>
      </c>
      <c r="F236" s="57" t="s">
        <v>1732</v>
      </c>
      <c r="G236" s="45" t="s">
        <v>926</v>
      </c>
      <c r="H236" s="45">
        <v>2018</v>
      </c>
    </row>
    <row r="237" spans="1:8" x14ac:dyDescent="0.25">
      <c r="A237" s="257">
        <v>228452</v>
      </c>
      <c r="B237" s="41" t="s">
        <v>55</v>
      </c>
      <c r="C237" s="42" t="s">
        <v>380</v>
      </c>
      <c r="D237" s="43" t="s">
        <v>2593</v>
      </c>
      <c r="E237" s="59" t="s">
        <v>1111</v>
      </c>
      <c r="F237" s="55" t="s">
        <v>1745</v>
      </c>
      <c r="G237" s="42" t="s">
        <v>1112</v>
      </c>
      <c r="H237" s="42">
        <v>2016</v>
      </c>
    </row>
    <row r="238" spans="1:8" x14ac:dyDescent="0.25">
      <c r="A238" s="257">
        <v>228453</v>
      </c>
      <c r="B238" s="41" t="s">
        <v>55</v>
      </c>
      <c r="C238" s="42" t="s">
        <v>380</v>
      </c>
      <c r="D238" s="43" t="s">
        <v>2593</v>
      </c>
      <c r="E238" s="47" t="s">
        <v>1111</v>
      </c>
      <c r="F238" s="55" t="s">
        <v>1745</v>
      </c>
      <c r="G238" s="42" t="s">
        <v>1112</v>
      </c>
      <c r="H238" s="42">
        <v>2016</v>
      </c>
    </row>
    <row r="239" spans="1:8" x14ac:dyDescent="0.25">
      <c r="A239" s="257">
        <v>228454</v>
      </c>
      <c r="B239" s="41" t="s">
        <v>55</v>
      </c>
      <c r="C239" s="42" t="s">
        <v>380</v>
      </c>
      <c r="D239" s="43" t="s">
        <v>2593</v>
      </c>
      <c r="E239" s="59" t="s">
        <v>1111</v>
      </c>
      <c r="F239" s="55" t="s">
        <v>1745</v>
      </c>
      <c r="G239" s="42" t="s">
        <v>926</v>
      </c>
      <c r="H239" s="42">
        <v>2016</v>
      </c>
    </row>
    <row r="240" spans="1:8" x14ac:dyDescent="0.25">
      <c r="A240" s="259">
        <v>228563</v>
      </c>
      <c r="B240" s="41" t="s">
        <v>55</v>
      </c>
      <c r="C240" s="42" t="s">
        <v>380</v>
      </c>
      <c r="D240" s="43" t="s">
        <v>2593</v>
      </c>
      <c r="E240" s="59" t="s">
        <v>1111</v>
      </c>
      <c r="F240" s="55" t="s">
        <v>1745</v>
      </c>
      <c r="G240" s="42" t="s">
        <v>1112</v>
      </c>
      <c r="H240" s="42">
        <v>2016</v>
      </c>
    </row>
    <row r="241" spans="1:8" x14ac:dyDescent="0.25">
      <c r="A241" s="257">
        <v>228565</v>
      </c>
      <c r="B241" s="41" t="s">
        <v>55</v>
      </c>
      <c r="C241" s="42" t="s">
        <v>380</v>
      </c>
      <c r="D241" s="43" t="s">
        <v>2593</v>
      </c>
      <c r="E241" s="47" t="s">
        <v>1111</v>
      </c>
      <c r="F241" s="55" t="s">
        <v>1745</v>
      </c>
      <c r="G241" s="42" t="s">
        <v>1113</v>
      </c>
      <c r="H241" s="42">
        <v>2017</v>
      </c>
    </row>
    <row r="242" spans="1:8" x14ac:dyDescent="0.25">
      <c r="A242" s="257">
        <v>228672</v>
      </c>
      <c r="B242" s="41" t="s">
        <v>55</v>
      </c>
      <c r="C242" s="42" t="s">
        <v>380</v>
      </c>
      <c r="D242" s="43" t="s">
        <v>2593</v>
      </c>
      <c r="E242" s="47" t="s">
        <v>1111</v>
      </c>
      <c r="F242" s="55" t="s">
        <v>1745</v>
      </c>
      <c r="G242" s="42" t="s">
        <v>926</v>
      </c>
      <c r="H242" s="42">
        <v>2017</v>
      </c>
    </row>
    <row r="243" spans="1:8" x14ac:dyDescent="0.25">
      <c r="A243" s="257" t="s">
        <v>1840</v>
      </c>
      <c r="B243" s="41" t="s">
        <v>62</v>
      </c>
      <c r="C243" s="42" t="s">
        <v>386</v>
      </c>
      <c r="D243" s="43" t="s">
        <v>916</v>
      </c>
      <c r="E243" s="47" t="s">
        <v>1726</v>
      </c>
      <c r="F243" s="55" t="s">
        <v>1724</v>
      </c>
      <c r="G243" s="42" t="s">
        <v>37</v>
      </c>
      <c r="H243" s="42">
        <v>2024</v>
      </c>
    </row>
    <row r="244" spans="1:8" x14ac:dyDescent="0.25">
      <c r="A244" s="257" t="s">
        <v>1841</v>
      </c>
      <c r="B244" s="41" t="s">
        <v>62</v>
      </c>
      <c r="C244" s="42" t="s">
        <v>386</v>
      </c>
      <c r="D244" s="43" t="s">
        <v>916</v>
      </c>
      <c r="E244" s="47" t="s">
        <v>1727</v>
      </c>
      <c r="F244" s="55" t="s">
        <v>1724</v>
      </c>
      <c r="G244" s="42" t="s">
        <v>37</v>
      </c>
      <c r="H244" s="42">
        <v>2024</v>
      </c>
    </row>
    <row r="245" spans="1:8" x14ac:dyDescent="0.25">
      <c r="A245" s="257" t="s">
        <v>1842</v>
      </c>
      <c r="B245" s="41" t="s">
        <v>62</v>
      </c>
      <c r="C245" s="42" t="s">
        <v>386</v>
      </c>
      <c r="D245" s="43" t="s">
        <v>916</v>
      </c>
      <c r="E245" s="47" t="s">
        <v>1728</v>
      </c>
      <c r="F245" s="55" t="s">
        <v>1724</v>
      </c>
      <c r="G245" s="42" t="s">
        <v>37</v>
      </c>
      <c r="H245" s="42">
        <v>2024</v>
      </c>
    </row>
    <row r="246" spans="1:8" x14ac:dyDescent="0.25">
      <c r="A246" s="175" t="s">
        <v>1843</v>
      </c>
      <c r="B246" s="41" t="s">
        <v>62</v>
      </c>
      <c r="C246" s="42" t="s">
        <v>386</v>
      </c>
      <c r="D246" s="43" t="s">
        <v>916</v>
      </c>
      <c r="E246" s="155" t="s">
        <v>1729</v>
      </c>
      <c r="F246" s="55" t="s">
        <v>1724</v>
      </c>
      <c r="G246" s="42" t="s">
        <v>37</v>
      </c>
      <c r="H246" s="42">
        <v>2024</v>
      </c>
    </row>
    <row r="247" spans="1:8" x14ac:dyDescent="0.25">
      <c r="A247" s="257">
        <v>230895</v>
      </c>
      <c r="B247" s="41" t="s">
        <v>62</v>
      </c>
      <c r="C247" s="42" t="s">
        <v>386</v>
      </c>
      <c r="D247" s="43" t="s">
        <v>916</v>
      </c>
      <c r="E247" s="59" t="s">
        <v>1414</v>
      </c>
      <c r="F247" s="55" t="s">
        <v>1724</v>
      </c>
      <c r="G247" s="42" t="s">
        <v>926</v>
      </c>
      <c r="H247" s="42">
        <v>2018</v>
      </c>
    </row>
    <row r="248" spans="1:8" x14ac:dyDescent="0.25">
      <c r="A248" s="257">
        <v>231045</v>
      </c>
      <c r="B248" s="41" t="s">
        <v>62</v>
      </c>
      <c r="C248" s="42" t="s">
        <v>386</v>
      </c>
      <c r="D248" s="43" t="s">
        <v>916</v>
      </c>
      <c r="E248" s="59" t="s">
        <v>1414</v>
      </c>
      <c r="F248" s="55" t="s">
        <v>1724</v>
      </c>
      <c r="G248" s="42" t="s">
        <v>926</v>
      </c>
      <c r="H248" s="42">
        <v>2018</v>
      </c>
    </row>
    <row r="249" spans="1:8" x14ac:dyDescent="0.25">
      <c r="A249" s="175">
        <v>231046</v>
      </c>
      <c r="B249" s="41" t="s">
        <v>62</v>
      </c>
      <c r="C249" s="42" t="s">
        <v>386</v>
      </c>
      <c r="D249" s="43" t="s">
        <v>916</v>
      </c>
      <c r="E249" s="153" t="s">
        <v>1414</v>
      </c>
      <c r="F249" s="140" t="s">
        <v>1724</v>
      </c>
      <c r="G249" s="138" t="s">
        <v>926</v>
      </c>
      <c r="H249" s="138">
        <v>2018</v>
      </c>
    </row>
    <row r="250" spans="1:8" x14ac:dyDescent="0.25">
      <c r="A250" s="175" t="s">
        <v>276</v>
      </c>
      <c r="B250" s="41" t="s">
        <v>268</v>
      </c>
      <c r="C250" s="42" t="s">
        <v>553</v>
      </c>
      <c r="D250" s="43" t="s">
        <v>916</v>
      </c>
      <c r="E250" s="153" t="s">
        <v>2545</v>
      </c>
      <c r="F250" s="140" t="s">
        <v>1725</v>
      </c>
      <c r="G250" s="138" t="s">
        <v>24</v>
      </c>
      <c r="H250" s="138">
        <v>2021</v>
      </c>
    </row>
    <row r="251" spans="1:8" x14ac:dyDescent="0.25">
      <c r="A251" s="175" t="s">
        <v>292</v>
      </c>
      <c r="B251" s="41" t="s">
        <v>291</v>
      </c>
      <c r="C251" s="42" t="s">
        <v>561</v>
      </c>
      <c r="D251" s="43" t="s">
        <v>916</v>
      </c>
      <c r="E251" s="155" t="s">
        <v>1294</v>
      </c>
      <c r="F251" s="55" t="s">
        <v>1725</v>
      </c>
      <c r="G251" s="42" t="s">
        <v>24</v>
      </c>
      <c r="H251" s="42">
        <v>2021</v>
      </c>
    </row>
    <row r="252" spans="1:8" x14ac:dyDescent="0.25">
      <c r="A252" s="257" t="s">
        <v>1524</v>
      </c>
      <c r="B252" s="41" t="s">
        <v>176</v>
      </c>
      <c r="C252" s="42" t="s">
        <v>509</v>
      </c>
      <c r="D252" s="43" t="s">
        <v>916</v>
      </c>
      <c r="E252" s="47" t="s">
        <v>1277</v>
      </c>
      <c r="F252" s="55" t="s">
        <v>1724</v>
      </c>
      <c r="G252" s="42" t="s">
        <v>102</v>
      </c>
      <c r="H252" s="42">
        <v>2019</v>
      </c>
    </row>
    <row r="253" spans="1:8" x14ac:dyDescent="0.25">
      <c r="A253" s="257">
        <v>231420</v>
      </c>
      <c r="B253" s="41" t="s">
        <v>181</v>
      </c>
      <c r="C253" s="42" t="s">
        <v>516</v>
      </c>
      <c r="D253" s="43" t="s">
        <v>916</v>
      </c>
      <c r="E253" s="47" t="s">
        <v>1191</v>
      </c>
      <c r="F253" s="55" t="s">
        <v>1724</v>
      </c>
      <c r="G253" s="42" t="s">
        <v>926</v>
      </c>
      <c r="H253" s="42">
        <v>2019</v>
      </c>
    </row>
    <row r="254" spans="1:8" x14ac:dyDescent="0.25">
      <c r="A254" s="257">
        <v>221830</v>
      </c>
      <c r="B254" s="41" t="s">
        <v>54</v>
      </c>
      <c r="C254" s="42" t="s">
        <v>379</v>
      </c>
      <c r="D254" s="43" t="s">
        <v>916</v>
      </c>
      <c r="E254" s="47" t="s">
        <v>1128</v>
      </c>
      <c r="F254" s="55" t="s">
        <v>1828</v>
      </c>
      <c r="G254" s="42" t="s">
        <v>926</v>
      </c>
      <c r="H254" s="42">
        <v>2013</v>
      </c>
    </row>
    <row r="255" spans="1:8" x14ac:dyDescent="0.25">
      <c r="A255" s="257" t="s">
        <v>2389</v>
      </c>
      <c r="B255" s="41" t="s">
        <v>62</v>
      </c>
      <c r="C255" s="42" t="s">
        <v>386</v>
      </c>
      <c r="D255" s="43" t="s">
        <v>916</v>
      </c>
      <c r="E255" s="47" t="s">
        <v>1414</v>
      </c>
      <c r="F255" s="55" t="s">
        <v>1724</v>
      </c>
      <c r="G255" s="42" t="s">
        <v>182</v>
      </c>
      <c r="H255" s="42">
        <v>2025</v>
      </c>
    </row>
    <row r="256" spans="1:8" x14ac:dyDescent="0.25">
      <c r="A256" s="257" t="s">
        <v>2390</v>
      </c>
      <c r="B256" s="152" t="s">
        <v>62</v>
      </c>
      <c r="C256" s="138" t="s">
        <v>386</v>
      </c>
      <c r="D256" s="150" t="s">
        <v>916</v>
      </c>
      <c r="E256" s="59" t="s">
        <v>1414</v>
      </c>
      <c r="F256" s="140" t="s">
        <v>1724</v>
      </c>
      <c r="G256" s="42" t="s">
        <v>37</v>
      </c>
      <c r="H256" s="42">
        <v>2025</v>
      </c>
    </row>
    <row r="257" spans="1:8" x14ac:dyDescent="0.25">
      <c r="A257" s="175" t="s">
        <v>2391</v>
      </c>
      <c r="B257" s="152" t="s">
        <v>62</v>
      </c>
      <c r="C257" s="138" t="s">
        <v>386</v>
      </c>
      <c r="D257" s="150" t="s">
        <v>916</v>
      </c>
      <c r="E257" s="153" t="s">
        <v>1414</v>
      </c>
      <c r="F257" s="140" t="s">
        <v>1724</v>
      </c>
      <c r="G257" s="138" t="s">
        <v>37</v>
      </c>
      <c r="H257" s="147">
        <v>2025</v>
      </c>
    </row>
    <row r="258" spans="1:8" x14ac:dyDescent="0.25">
      <c r="A258" s="257" t="s">
        <v>2011</v>
      </c>
      <c r="B258" s="41" t="s">
        <v>62</v>
      </c>
      <c r="C258" s="42" t="s">
        <v>386</v>
      </c>
      <c r="D258" s="43" t="s">
        <v>916</v>
      </c>
      <c r="E258" s="47" t="s">
        <v>1414</v>
      </c>
      <c r="F258" s="55" t="s">
        <v>1724</v>
      </c>
      <c r="G258" s="42" t="s">
        <v>37</v>
      </c>
      <c r="H258" s="42">
        <v>2025</v>
      </c>
    </row>
    <row r="259" spans="1:8" x14ac:dyDescent="0.25">
      <c r="A259" s="257" t="s">
        <v>1933</v>
      </c>
      <c r="B259" s="41" t="s">
        <v>62</v>
      </c>
      <c r="C259" s="42" t="s">
        <v>386</v>
      </c>
      <c r="D259" s="43" t="s">
        <v>916</v>
      </c>
      <c r="E259" s="59" t="s">
        <v>1414</v>
      </c>
      <c r="F259" s="55" t="s">
        <v>1724</v>
      </c>
      <c r="G259" s="42" t="s">
        <v>24</v>
      </c>
      <c r="H259" s="42">
        <v>2025</v>
      </c>
    </row>
    <row r="260" spans="1:8" x14ac:dyDescent="0.25">
      <c r="A260" s="257">
        <v>221726</v>
      </c>
      <c r="B260" s="41" t="s">
        <v>33</v>
      </c>
      <c r="C260" s="42" t="s">
        <v>349</v>
      </c>
      <c r="D260" s="43" t="s">
        <v>923</v>
      </c>
      <c r="E260" s="47"/>
      <c r="F260" s="55" t="s">
        <v>1732</v>
      </c>
      <c r="G260" s="42" t="s">
        <v>926</v>
      </c>
      <c r="H260" s="42">
        <v>2017</v>
      </c>
    </row>
    <row r="261" spans="1:8" x14ac:dyDescent="0.25">
      <c r="A261" s="257">
        <v>227470</v>
      </c>
      <c r="B261" s="41" t="s">
        <v>33</v>
      </c>
      <c r="C261" s="42" t="s">
        <v>349</v>
      </c>
      <c r="D261" s="43" t="s">
        <v>923</v>
      </c>
      <c r="E261" s="41"/>
      <c r="F261" s="55" t="s">
        <v>1732</v>
      </c>
      <c r="G261" s="42" t="s">
        <v>926</v>
      </c>
      <c r="H261" s="42">
        <v>2016</v>
      </c>
    </row>
    <row r="262" spans="1:8" x14ac:dyDescent="0.25">
      <c r="A262" s="257" t="s">
        <v>1966</v>
      </c>
      <c r="B262" s="41" t="s">
        <v>1105</v>
      </c>
      <c r="C262" s="42" t="s">
        <v>1106</v>
      </c>
      <c r="D262" s="43" t="s">
        <v>1028</v>
      </c>
      <c r="E262" s="41" t="s">
        <v>1160</v>
      </c>
      <c r="F262" s="55" t="s">
        <v>1732</v>
      </c>
      <c r="G262" s="42" t="s">
        <v>182</v>
      </c>
      <c r="H262" s="42">
        <v>2019</v>
      </c>
    </row>
    <row r="263" spans="1:8" x14ac:dyDescent="0.25">
      <c r="A263" s="257">
        <v>231052</v>
      </c>
      <c r="B263" s="41" t="s">
        <v>1440</v>
      </c>
      <c r="C263" s="42" t="s">
        <v>1590</v>
      </c>
      <c r="D263" s="43" t="s">
        <v>1028</v>
      </c>
      <c r="E263" s="59" t="s">
        <v>1160</v>
      </c>
      <c r="F263" s="55" t="s">
        <v>1732</v>
      </c>
      <c r="G263" s="42" t="s">
        <v>926</v>
      </c>
      <c r="H263" s="42">
        <v>2019</v>
      </c>
    </row>
    <row r="264" spans="1:8" x14ac:dyDescent="0.25">
      <c r="A264" s="257" t="s">
        <v>200</v>
      </c>
      <c r="B264" s="41" t="s">
        <v>2434</v>
      </c>
      <c r="C264" s="42" t="s">
        <v>394</v>
      </c>
      <c r="D264" s="43" t="s">
        <v>1028</v>
      </c>
      <c r="E264" s="59" t="s">
        <v>1122</v>
      </c>
      <c r="F264" s="55" t="s">
        <v>1732</v>
      </c>
      <c r="G264" s="42" t="s">
        <v>24</v>
      </c>
      <c r="H264" s="42">
        <v>2019</v>
      </c>
    </row>
    <row r="265" spans="1:8" x14ac:dyDescent="0.25">
      <c r="A265" s="262" t="s">
        <v>234</v>
      </c>
      <c r="B265" s="41" t="s">
        <v>2434</v>
      </c>
      <c r="C265" s="42" t="s">
        <v>394</v>
      </c>
      <c r="D265" s="43" t="s">
        <v>1028</v>
      </c>
      <c r="E265" s="50" t="s">
        <v>1369</v>
      </c>
      <c r="F265" s="55" t="s">
        <v>1732</v>
      </c>
      <c r="G265" s="127" t="s">
        <v>24</v>
      </c>
      <c r="H265" s="42">
        <v>2021</v>
      </c>
    </row>
    <row r="266" spans="1:8" x14ac:dyDescent="0.25">
      <c r="A266" s="257" t="s">
        <v>2392</v>
      </c>
      <c r="B266" s="41" t="s">
        <v>2435</v>
      </c>
      <c r="C266" s="42" t="s">
        <v>2530</v>
      </c>
      <c r="D266" s="43" t="s">
        <v>2594</v>
      </c>
      <c r="E266" s="47" t="s">
        <v>2546</v>
      </c>
      <c r="F266" s="55" t="s">
        <v>1731</v>
      </c>
      <c r="G266" s="42" t="s">
        <v>2617</v>
      </c>
      <c r="H266" s="42">
        <v>2025</v>
      </c>
    </row>
    <row r="267" spans="1:8" x14ac:dyDescent="0.25">
      <c r="A267" s="257" t="s">
        <v>1389</v>
      </c>
      <c r="B267" s="41" t="s">
        <v>1096</v>
      </c>
      <c r="C267" s="42" t="s">
        <v>1097</v>
      </c>
      <c r="D267" s="43" t="s">
        <v>1098</v>
      </c>
      <c r="E267" s="47" t="s">
        <v>1388</v>
      </c>
      <c r="F267" s="55" t="s">
        <v>1725</v>
      </c>
      <c r="G267" s="42" t="s">
        <v>24</v>
      </c>
      <c r="H267" s="42">
        <v>2022</v>
      </c>
    </row>
    <row r="268" spans="1:8" x14ac:dyDescent="0.25">
      <c r="A268" s="257" t="s">
        <v>1552</v>
      </c>
      <c r="B268" s="41" t="s">
        <v>163</v>
      </c>
      <c r="C268" s="42" t="s">
        <v>480</v>
      </c>
      <c r="D268" s="43" t="s">
        <v>917</v>
      </c>
      <c r="E268" s="59" t="s">
        <v>1223</v>
      </c>
      <c r="F268" s="55" t="s">
        <v>1725</v>
      </c>
      <c r="G268" s="42" t="s">
        <v>24</v>
      </c>
      <c r="H268" s="42">
        <v>2019</v>
      </c>
    </row>
    <row r="269" spans="1:8" x14ac:dyDescent="0.25">
      <c r="A269" s="257" t="s">
        <v>1553</v>
      </c>
      <c r="B269" s="41" t="s">
        <v>163</v>
      </c>
      <c r="C269" s="42" t="s">
        <v>480</v>
      </c>
      <c r="D269" s="43" t="s">
        <v>917</v>
      </c>
      <c r="E269" s="158" t="s">
        <v>1223</v>
      </c>
      <c r="F269" s="42" t="s">
        <v>1725</v>
      </c>
      <c r="G269" s="142" t="s">
        <v>37</v>
      </c>
      <c r="H269" s="50">
        <v>2019</v>
      </c>
    </row>
    <row r="270" spans="1:8" x14ac:dyDescent="0.25">
      <c r="A270" s="257">
        <v>228420</v>
      </c>
      <c r="B270" s="41" t="s">
        <v>81</v>
      </c>
      <c r="C270" s="42" t="s">
        <v>409</v>
      </c>
      <c r="D270" s="43" t="s">
        <v>917</v>
      </c>
      <c r="E270" s="158" t="s">
        <v>1117</v>
      </c>
      <c r="F270" s="55" t="s">
        <v>1745</v>
      </c>
      <c r="G270" s="142" t="s">
        <v>926</v>
      </c>
      <c r="H270" s="50">
        <v>2016</v>
      </c>
    </row>
    <row r="271" spans="1:8" x14ac:dyDescent="0.25">
      <c r="A271" s="257">
        <v>228421</v>
      </c>
      <c r="B271" s="41" t="s">
        <v>81</v>
      </c>
      <c r="C271" s="42" t="s">
        <v>409</v>
      </c>
      <c r="D271" s="43" t="s">
        <v>917</v>
      </c>
      <c r="E271" s="59" t="s">
        <v>1117</v>
      </c>
      <c r="F271" s="55" t="s">
        <v>1745</v>
      </c>
      <c r="G271" s="42" t="s">
        <v>926</v>
      </c>
      <c r="H271" s="42">
        <v>2016</v>
      </c>
    </row>
    <row r="272" spans="1:8" x14ac:dyDescent="0.25">
      <c r="A272" s="257">
        <v>228455</v>
      </c>
      <c r="B272" s="41" t="s">
        <v>81</v>
      </c>
      <c r="C272" s="42" t="s">
        <v>409</v>
      </c>
      <c r="D272" s="43" t="s">
        <v>917</v>
      </c>
      <c r="E272" s="59" t="s">
        <v>1117</v>
      </c>
      <c r="F272" s="55" t="s">
        <v>1745</v>
      </c>
      <c r="G272" s="42" t="s">
        <v>926</v>
      </c>
      <c r="H272" s="42">
        <v>2016</v>
      </c>
    </row>
    <row r="273" spans="1:8" x14ac:dyDescent="0.25">
      <c r="A273" s="257">
        <v>231539</v>
      </c>
      <c r="B273" s="41" t="s">
        <v>81</v>
      </c>
      <c r="C273" s="42" t="s">
        <v>409</v>
      </c>
      <c r="D273" s="43" t="s">
        <v>917</v>
      </c>
      <c r="E273" s="47" t="s">
        <v>1117</v>
      </c>
      <c r="F273" s="55" t="s">
        <v>1745</v>
      </c>
      <c r="G273" s="42" t="s">
        <v>926</v>
      </c>
      <c r="H273" s="42">
        <v>2019</v>
      </c>
    </row>
    <row r="274" spans="1:8" x14ac:dyDescent="0.25">
      <c r="A274" s="257" t="s">
        <v>1966</v>
      </c>
      <c r="B274" s="41" t="s">
        <v>38</v>
      </c>
      <c r="C274" s="42" t="s">
        <v>353</v>
      </c>
      <c r="D274" s="43" t="s">
        <v>917</v>
      </c>
      <c r="E274" s="59"/>
      <c r="F274" s="55" t="s">
        <v>1792</v>
      </c>
      <c r="G274" s="42" t="s">
        <v>886</v>
      </c>
      <c r="H274" s="42">
        <v>2014</v>
      </c>
    </row>
    <row r="275" spans="1:8" x14ac:dyDescent="0.25">
      <c r="A275" s="257">
        <v>225633</v>
      </c>
      <c r="B275" s="41" t="s">
        <v>2436</v>
      </c>
      <c r="C275" s="42" t="s">
        <v>320</v>
      </c>
      <c r="D275" s="43" t="s">
        <v>1023</v>
      </c>
      <c r="E275" s="59" t="s">
        <v>1119</v>
      </c>
      <c r="F275" s="55" t="s">
        <v>1732</v>
      </c>
      <c r="G275" s="42" t="s">
        <v>886</v>
      </c>
      <c r="H275" s="42">
        <v>2014</v>
      </c>
    </row>
    <row r="276" spans="1:8" x14ac:dyDescent="0.25">
      <c r="A276" s="257" t="s">
        <v>1966</v>
      </c>
      <c r="B276" s="41" t="s">
        <v>2436</v>
      </c>
      <c r="C276" s="42" t="s">
        <v>320</v>
      </c>
      <c r="D276" s="43" t="s">
        <v>1023</v>
      </c>
      <c r="E276" s="47" t="s">
        <v>1119</v>
      </c>
      <c r="F276" s="55" t="s">
        <v>1732</v>
      </c>
      <c r="G276" s="42" t="s">
        <v>1120</v>
      </c>
      <c r="H276" s="42">
        <v>2009</v>
      </c>
    </row>
    <row r="277" spans="1:8" x14ac:dyDescent="0.25">
      <c r="A277" s="175">
        <v>215182</v>
      </c>
      <c r="B277" s="41" t="s">
        <v>2437</v>
      </c>
      <c r="C277" s="42" t="s">
        <v>320</v>
      </c>
      <c r="D277" s="43" t="s">
        <v>1023</v>
      </c>
      <c r="E277" s="50"/>
      <c r="F277" s="55" t="s">
        <v>1732</v>
      </c>
      <c r="G277" s="127" t="s">
        <v>926</v>
      </c>
      <c r="H277" s="42">
        <v>2009</v>
      </c>
    </row>
    <row r="278" spans="1:8" x14ac:dyDescent="0.25">
      <c r="A278" s="175">
        <v>215524</v>
      </c>
      <c r="B278" s="41" t="s">
        <v>2438</v>
      </c>
      <c r="C278" s="42" t="s">
        <v>342</v>
      </c>
      <c r="D278" s="43" t="s">
        <v>1023</v>
      </c>
      <c r="E278" s="50"/>
      <c r="F278" s="55" t="s">
        <v>1732</v>
      </c>
      <c r="G278" s="127" t="s">
        <v>927</v>
      </c>
      <c r="H278" s="42">
        <v>2009</v>
      </c>
    </row>
    <row r="279" spans="1:8" x14ac:dyDescent="0.25">
      <c r="A279" s="175">
        <v>229983</v>
      </c>
      <c r="B279" s="41" t="s">
        <v>2438</v>
      </c>
      <c r="C279" s="42" t="s">
        <v>342</v>
      </c>
      <c r="D279" s="43" t="s">
        <v>1023</v>
      </c>
      <c r="E279" s="50"/>
      <c r="F279" s="55" t="s">
        <v>1732</v>
      </c>
      <c r="G279" s="127" t="s">
        <v>927</v>
      </c>
      <c r="H279" s="42">
        <v>2018</v>
      </c>
    </row>
    <row r="280" spans="1:8" x14ac:dyDescent="0.25">
      <c r="A280" s="175">
        <v>212284</v>
      </c>
      <c r="B280" s="41" t="s">
        <v>29</v>
      </c>
      <c r="C280" s="42" t="s">
        <v>339</v>
      </c>
      <c r="D280" s="43" t="s">
        <v>1023</v>
      </c>
      <c r="E280" s="50"/>
      <c r="F280" s="55" t="s">
        <v>1732</v>
      </c>
      <c r="G280" s="127" t="s">
        <v>926</v>
      </c>
      <c r="H280" s="42">
        <v>2015</v>
      </c>
    </row>
    <row r="281" spans="1:8" x14ac:dyDescent="0.25">
      <c r="A281" s="257">
        <v>217793</v>
      </c>
      <c r="B281" s="41" t="s">
        <v>29</v>
      </c>
      <c r="C281" s="42" t="s">
        <v>339</v>
      </c>
      <c r="D281" s="43" t="s">
        <v>1023</v>
      </c>
      <c r="E281" s="47"/>
      <c r="F281" s="55" t="s">
        <v>1732</v>
      </c>
      <c r="G281" s="42" t="s">
        <v>926</v>
      </c>
      <c r="H281" s="42">
        <v>2009</v>
      </c>
    </row>
    <row r="282" spans="1:8" x14ac:dyDescent="0.25">
      <c r="A282" s="257" t="s">
        <v>1966</v>
      </c>
      <c r="B282" s="41" t="s">
        <v>2439</v>
      </c>
      <c r="C282" s="42" t="s">
        <v>344</v>
      </c>
      <c r="D282" s="43" t="s">
        <v>1023</v>
      </c>
      <c r="E282" s="47"/>
      <c r="F282" s="55" t="s">
        <v>1732</v>
      </c>
      <c r="G282" s="42" t="s">
        <v>926</v>
      </c>
      <c r="H282" s="42">
        <v>2009</v>
      </c>
    </row>
    <row r="283" spans="1:8" x14ac:dyDescent="0.25">
      <c r="A283" s="175" t="s">
        <v>1966</v>
      </c>
      <c r="B283" s="152" t="s">
        <v>2439</v>
      </c>
      <c r="C283" s="138" t="s">
        <v>344</v>
      </c>
      <c r="D283" s="150" t="s">
        <v>1023</v>
      </c>
      <c r="E283" s="153"/>
      <c r="F283" s="55" t="s">
        <v>1732</v>
      </c>
      <c r="G283" s="138" t="s">
        <v>926</v>
      </c>
      <c r="H283" s="138">
        <v>2009</v>
      </c>
    </row>
    <row r="284" spans="1:8" x14ac:dyDescent="0.25">
      <c r="A284" s="263" t="s">
        <v>1966</v>
      </c>
      <c r="B284" s="41" t="s">
        <v>2439</v>
      </c>
      <c r="C284" s="42" t="s">
        <v>344</v>
      </c>
      <c r="D284" s="43" t="s">
        <v>1023</v>
      </c>
      <c r="E284" s="59"/>
      <c r="F284" s="55" t="s">
        <v>1732</v>
      </c>
      <c r="G284" s="42" t="s">
        <v>926</v>
      </c>
      <c r="H284" s="159">
        <v>2009</v>
      </c>
    </row>
    <row r="285" spans="1:8" x14ac:dyDescent="0.25">
      <c r="A285" s="257">
        <v>222898</v>
      </c>
      <c r="B285" s="41" t="s">
        <v>2440</v>
      </c>
      <c r="C285" s="42" t="s">
        <v>343</v>
      </c>
      <c r="D285" s="43" t="s">
        <v>1023</v>
      </c>
      <c r="E285" s="59"/>
      <c r="F285" s="55" t="s">
        <v>1732</v>
      </c>
      <c r="G285" s="42" t="s">
        <v>1157</v>
      </c>
      <c r="H285" s="42">
        <v>2013</v>
      </c>
    </row>
    <row r="286" spans="1:8" x14ac:dyDescent="0.25">
      <c r="A286" s="257">
        <v>218889</v>
      </c>
      <c r="B286" s="41" t="s">
        <v>34</v>
      </c>
      <c r="C286" s="42" t="s">
        <v>350</v>
      </c>
      <c r="D286" s="43" t="s">
        <v>1023</v>
      </c>
      <c r="E286" s="154" t="s">
        <v>1138</v>
      </c>
      <c r="F286" s="55" t="s">
        <v>1828</v>
      </c>
      <c r="G286" s="42" t="s">
        <v>926</v>
      </c>
      <c r="H286" s="42">
        <v>2012</v>
      </c>
    </row>
    <row r="287" spans="1:8" x14ac:dyDescent="0.25">
      <c r="A287" s="257" t="s">
        <v>1522</v>
      </c>
      <c r="B287" s="41" t="s">
        <v>939</v>
      </c>
      <c r="C287" s="42" t="s">
        <v>374</v>
      </c>
      <c r="D287" s="43" t="s">
        <v>2595</v>
      </c>
      <c r="E287" s="59" t="s">
        <v>1285</v>
      </c>
      <c r="F287" s="55" t="s">
        <v>1725</v>
      </c>
      <c r="G287" s="42" t="s">
        <v>260</v>
      </c>
      <c r="H287" s="42">
        <v>2022</v>
      </c>
    </row>
    <row r="288" spans="1:8" x14ac:dyDescent="0.25">
      <c r="A288" s="175" t="s">
        <v>1966</v>
      </c>
      <c r="B288" s="41" t="s">
        <v>41</v>
      </c>
      <c r="C288" s="42" t="s">
        <v>359</v>
      </c>
      <c r="D288" s="43" t="s">
        <v>2595</v>
      </c>
      <c r="E288" s="59"/>
      <c r="F288" s="55" t="s">
        <v>1732</v>
      </c>
      <c r="G288" s="127" t="s">
        <v>926</v>
      </c>
      <c r="H288" s="42">
        <v>2009</v>
      </c>
    </row>
    <row r="289" spans="1:8" x14ac:dyDescent="0.25">
      <c r="A289" s="258" t="s">
        <v>285</v>
      </c>
      <c r="B289" s="44" t="s">
        <v>284</v>
      </c>
      <c r="C289" s="45" t="s">
        <v>386</v>
      </c>
      <c r="D289" s="46" t="s">
        <v>2595</v>
      </c>
      <c r="E289" s="58"/>
      <c r="F289" s="57" t="s">
        <v>1725</v>
      </c>
      <c r="G289" s="45" t="s">
        <v>24</v>
      </c>
      <c r="H289" s="45">
        <v>2021</v>
      </c>
    </row>
    <row r="290" spans="1:8" x14ac:dyDescent="0.25">
      <c r="A290" s="257">
        <v>229758</v>
      </c>
      <c r="B290" s="41" t="s">
        <v>2441</v>
      </c>
      <c r="C290" s="42" t="s">
        <v>357</v>
      </c>
      <c r="D290" s="43" t="s">
        <v>2595</v>
      </c>
      <c r="E290" s="160" t="s">
        <v>1401</v>
      </c>
      <c r="F290" s="161" t="s">
        <v>1742</v>
      </c>
      <c r="G290" s="42" t="s">
        <v>926</v>
      </c>
      <c r="H290" s="42">
        <v>2017</v>
      </c>
    </row>
    <row r="291" spans="1:8" x14ac:dyDescent="0.25">
      <c r="A291" s="257" t="s">
        <v>1966</v>
      </c>
      <c r="B291" s="41" t="s">
        <v>40</v>
      </c>
      <c r="C291" s="42" t="s">
        <v>358</v>
      </c>
      <c r="D291" s="43" t="s">
        <v>2595</v>
      </c>
      <c r="E291" s="155"/>
      <c r="F291" s="55" t="s">
        <v>1732</v>
      </c>
      <c r="G291" s="42" t="s">
        <v>926</v>
      </c>
      <c r="H291" s="42">
        <v>2011</v>
      </c>
    </row>
    <row r="292" spans="1:8" x14ac:dyDescent="0.25">
      <c r="A292" s="257" t="s">
        <v>267</v>
      </c>
      <c r="B292" s="41" t="s">
        <v>266</v>
      </c>
      <c r="C292" s="42" t="s">
        <v>552</v>
      </c>
      <c r="D292" s="43" t="s">
        <v>2595</v>
      </c>
      <c r="E292" s="59" t="s">
        <v>1390</v>
      </c>
      <c r="F292" s="55" t="s">
        <v>1725</v>
      </c>
      <c r="G292" s="42" t="s">
        <v>24</v>
      </c>
      <c r="H292" s="42">
        <v>2021</v>
      </c>
    </row>
    <row r="293" spans="1:8" x14ac:dyDescent="0.25">
      <c r="A293" s="257">
        <v>229982</v>
      </c>
      <c r="B293" s="41" t="s">
        <v>1754</v>
      </c>
      <c r="C293" s="42" t="s">
        <v>376</v>
      </c>
      <c r="D293" s="43" t="s">
        <v>2595</v>
      </c>
      <c r="E293" s="59" t="s">
        <v>1375</v>
      </c>
      <c r="F293" s="55" t="s">
        <v>1732</v>
      </c>
      <c r="G293" s="42" t="s">
        <v>926</v>
      </c>
      <c r="H293" s="42">
        <v>2017</v>
      </c>
    </row>
    <row r="294" spans="1:8" x14ac:dyDescent="0.25">
      <c r="A294" s="257" t="s">
        <v>271</v>
      </c>
      <c r="B294" s="41" t="s">
        <v>2442</v>
      </c>
      <c r="C294" s="42" t="s">
        <v>555</v>
      </c>
      <c r="D294" s="43" t="s">
        <v>2595</v>
      </c>
      <c r="E294" s="59" t="s">
        <v>1641</v>
      </c>
      <c r="F294" s="55" t="s">
        <v>1725</v>
      </c>
      <c r="G294" s="42" t="s">
        <v>24</v>
      </c>
      <c r="H294" s="42">
        <v>2021</v>
      </c>
    </row>
    <row r="295" spans="1:8" x14ac:dyDescent="0.25">
      <c r="A295" s="257">
        <v>228566</v>
      </c>
      <c r="B295" s="41" t="s">
        <v>88</v>
      </c>
      <c r="C295" s="42" t="s">
        <v>334</v>
      </c>
      <c r="D295" s="43" t="s">
        <v>2595</v>
      </c>
      <c r="E295" s="59" t="s">
        <v>1164</v>
      </c>
      <c r="F295" s="55" t="s">
        <v>1745</v>
      </c>
      <c r="G295" s="42" t="s">
        <v>926</v>
      </c>
      <c r="H295" s="42">
        <v>2017</v>
      </c>
    </row>
    <row r="296" spans="1:8" x14ac:dyDescent="0.25">
      <c r="A296" s="257" t="s">
        <v>1966</v>
      </c>
      <c r="B296" s="41" t="s">
        <v>88</v>
      </c>
      <c r="C296" s="42" t="s">
        <v>334</v>
      </c>
      <c r="D296" s="43" t="s">
        <v>2595</v>
      </c>
      <c r="E296" s="47" t="s">
        <v>1352</v>
      </c>
      <c r="F296" s="55" t="s">
        <v>1745</v>
      </c>
      <c r="G296" s="42" t="s">
        <v>926</v>
      </c>
      <c r="H296" s="42">
        <v>2017</v>
      </c>
    </row>
    <row r="297" spans="1:8" x14ac:dyDescent="0.25">
      <c r="A297" s="257">
        <v>231544</v>
      </c>
      <c r="B297" s="41" t="s">
        <v>2443</v>
      </c>
      <c r="C297" s="42" t="s">
        <v>360</v>
      </c>
      <c r="D297" s="43" t="s">
        <v>2595</v>
      </c>
      <c r="E297" s="47" t="s">
        <v>1342</v>
      </c>
      <c r="F297" s="55" t="s">
        <v>1732</v>
      </c>
      <c r="G297" s="42" t="s">
        <v>926</v>
      </c>
      <c r="H297" s="42">
        <v>2019</v>
      </c>
    </row>
    <row r="298" spans="1:8" x14ac:dyDescent="0.25">
      <c r="A298" s="257">
        <v>230046</v>
      </c>
      <c r="B298" s="41" t="s">
        <v>1060</v>
      </c>
      <c r="C298" s="42" t="s">
        <v>374</v>
      </c>
      <c r="D298" s="43" t="s">
        <v>2595</v>
      </c>
      <c r="E298" s="47" t="s">
        <v>1230</v>
      </c>
      <c r="F298" s="55" t="s">
        <v>1732</v>
      </c>
      <c r="G298" s="42" t="s">
        <v>1157</v>
      </c>
      <c r="H298" s="42">
        <v>2018</v>
      </c>
    </row>
    <row r="299" spans="1:8" x14ac:dyDescent="0.25">
      <c r="A299" s="257">
        <v>230047</v>
      </c>
      <c r="B299" s="41" t="s">
        <v>59</v>
      </c>
      <c r="C299" s="42" t="s">
        <v>384</v>
      </c>
      <c r="D299" s="43" t="s">
        <v>2595</v>
      </c>
      <c r="E299" s="47" t="s">
        <v>1265</v>
      </c>
      <c r="F299" s="55" t="s">
        <v>1732</v>
      </c>
      <c r="G299" s="42" t="s">
        <v>926</v>
      </c>
      <c r="H299" s="42">
        <v>2018</v>
      </c>
    </row>
    <row r="300" spans="1:8" x14ac:dyDescent="0.25">
      <c r="A300" s="257" t="s">
        <v>60</v>
      </c>
      <c r="B300" s="41" t="s">
        <v>59</v>
      </c>
      <c r="C300" s="42" t="s">
        <v>384</v>
      </c>
      <c r="D300" s="43" t="s">
        <v>2595</v>
      </c>
      <c r="E300" s="47" t="s">
        <v>1264</v>
      </c>
      <c r="F300" s="55" t="s">
        <v>1725</v>
      </c>
      <c r="G300" s="42" t="s">
        <v>24</v>
      </c>
      <c r="H300" s="42">
        <v>2020</v>
      </c>
    </row>
    <row r="301" spans="1:8" x14ac:dyDescent="0.25">
      <c r="A301" s="257" t="s">
        <v>1253</v>
      </c>
      <c r="B301" s="41" t="s">
        <v>940</v>
      </c>
      <c r="C301" s="42" t="s">
        <v>941</v>
      </c>
      <c r="D301" s="43" t="s">
        <v>2595</v>
      </c>
      <c r="E301" s="47" t="s">
        <v>1252</v>
      </c>
      <c r="F301" s="55" t="s">
        <v>1725</v>
      </c>
      <c r="G301" s="42" t="s">
        <v>24</v>
      </c>
      <c r="H301" s="42">
        <v>2022</v>
      </c>
    </row>
    <row r="302" spans="1:8" x14ac:dyDescent="0.25">
      <c r="A302" s="175" t="s">
        <v>235</v>
      </c>
      <c r="B302" s="152" t="s">
        <v>2444</v>
      </c>
      <c r="C302" s="138" t="s">
        <v>339</v>
      </c>
      <c r="D302" s="150" t="s">
        <v>2595</v>
      </c>
      <c r="E302" s="153" t="s">
        <v>1247</v>
      </c>
      <c r="F302" s="140" t="s">
        <v>1732</v>
      </c>
      <c r="G302" s="138" t="s">
        <v>24</v>
      </c>
      <c r="H302" s="138">
        <v>2021</v>
      </c>
    </row>
    <row r="303" spans="1:8" x14ac:dyDescent="0.25">
      <c r="A303" s="257">
        <v>226952</v>
      </c>
      <c r="B303" s="41" t="s">
        <v>29</v>
      </c>
      <c r="C303" s="42" t="s">
        <v>339</v>
      </c>
      <c r="D303" s="43" t="s">
        <v>2595</v>
      </c>
      <c r="E303" s="47" t="s">
        <v>1246</v>
      </c>
      <c r="F303" s="55" t="s">
        <v>1732</v>
      </c>
      <c r="G303" s="42" t="s">
        <v>926</v>
      </c>
      <c r="H303" s="42">
        <v>2014</v>
      </c>
    </row>
    <row r="304" spans="1:8" x14ac:dyDescent="0.25">
      <c r="A304" s="175">
        <v>226959</v>
      </c>
      <c r="B304" s="152" t="s">
        <v>29</v>
      </c>
      <c r="C304" s="138" t="s">
        <v>339</v>
      </c>
      <c r="D304" s="150" t="s">
        <v>2595</v>
      </c>
      <c r="E304" s="153" t="s">
        <v>1246</v>
      </c>
      <c r="F304" s="55" t="s">
        <v>1732</v>
      </c>
      <c r="G304" s="138" t="s">
        <v>926</v>
      </c>
      <c r="H304" s="138">
        <v>2016</v>
      </c>
    </row>
    <row r="305" spans="1:8" x14ac:dyDescent="0.25">
      <c r="A305" s="257" t="s">
        <v>203</v>
      </c>
      <c r="B305" s="41" t="s">
        <v>202</v>
      </c>
      <c r="C305" s="42" t="s">
        <v>530</v>
      </c>
      <c r="D305" s="43" t="s">
        <v>2595</v>
      </c>
      <c r="E305" s="59" t="s">
        <v>1238</v>
      </c>
      <c r="F305" s="55" t="s">
        <v>1732</v>
      </c>
      <c r="G305" s="42" t="s">
        <v>24</v>
      </c>
      <c r="H305" s="42">
        <v>2020</v>
      </c>
    </row>
    <row r="306" spans="1:8" x14ac:dyDescent="0.25">
      <c r="A306" s="257" t="s">
        <v>204</v>
      </c>
      <c r="B306" s="41" t="s">
        <v>202</v>
      </c>
      <c r="C306" s="42" t="s">
        <v>530</v>
      </c>
      <c r="D306" s="43" t="s">
        <v>2595</v>
      </c>
      <c r="E306" s="47" t="s">
        <v>1238</v>
      </c>
      <c r="F306" s="55" t="s">
        <v>1732</v>
      </c>
      <c r="G306" s="127" t="s">
        <v>24</v>
      </c>
      <c r="H306" s="42">
        <v>2020</v>
      </c>
    </row>
    <row r="307" spans="1:8" x14ac:dyDescent="0.25">
      <c r="A307" s="257" t="s">
        <v>1545</v>
      </c>
      <c r="B307" s="41" t="s">
        <v>202</v>
      </c>
      <c r="C307" s="42" t="s">
        <v>530</v>
      </c>
      <c r="D307" s="43" t="s">
        <v>2595</v>
      </c>
      <c r="E307" s="47" t="s">
        <v>1238</v>
      </c>
      <c r="F307" s="55" t="s">
        <v>1732</v>
      </c>
      <c r="G307" s="127" t="s">
        <v>24</v>
      </c>
      <c r="H307" s="42">
        <v>2023</v>
      </c>
    </row>
    <row r="308" spans="1:8" x14ac:dyDescent="0.25">
      <c r="A308" s="258" t="s">
        <v>299</v>
      </c>
      <c r="B308" s="44" t="s">
        <v>1449</v>
      </c>
      <c r="C308" s="45" t="s">
        <v>559</v>
      </c>
      <c r="D308" s="46" t="s">
        <v>2595</v>
      </c>
      <c r="E308" s="56" t="s">
        <v>1230</v>
      </c>
      <c r="F308" s="57" t="s">
        <v>1724</v>
      </c>
      <c r="G308" s="45" t="s">
        <v>24</v>
      </c>
      <c r="H308" s="45">
        <v>2020</v>
      </c>
    </row>
    <row r="309" spans="1:8" x14ac:dyDescent="0.25">
      <c r="A309" s="257" t="s">
        <v>300</v>
      </c>
      <c r="B309" s="41" t="s">
        <v>1449</v>
      </c>
      <c r="C309" s="42" t="s">
        <v>559</v>
      </c>
      <c r="D309" s="43" t="s">
        <v>2595</v>
      </c>
      <c r="E309" s="59" t="s">
        <v>1230</v>
      </c>
      <c r="F309" s="55" t="s">
        <v>1724</v>
      </c>
      <c r="G309" s="42" t="s">
        <v>182</v>
      </c>
      <c r="H309" s="42">
        <v>2020</v>
      </c>
    </row>
    <row r="310" spans="1:8" x14ac:dyDescent="0.25">
      <c r="A310" s="257" t="s">
        <v>287</v>
      </c>
      <c r="B310" s="41" t="s">
        <v>1449</v>
      </c>
      <c r="C310" s="42" t="s">
        <v>559</v>
      </c>
      <c r="D310" s="43" t="s">
        <v>2595</v>
      </c>
      <c r="E310" s="47" t="s">
        <v>1230</v>
      </c>
      <c r="F310" s="55" t="s">
        <v>1724</v>
      </c>
      <c r="G310" s="42" t="s">
        <v>37</v>
      </c>
      <c r="H310" s="42">
        <v>2021</v>
      </c>
    </row>
    <row r="311" spans="1:8" x14ac:dyDescent="0.25">
      <c r="A311" s="257" t="s">
        <v>288</v>
      </c>
      <c r="B311" s="41" t="s">
        <v>1449</v>
      </c>
      <c r="C311" s="42" t="s">
        <v>559</v>
      </c>
      <c r="D311" s="43" t="s">
        <v>2595</v>
      </c>
      <c r="E311" s="59" t="s">
        <v>1230</v>
      </c>
      <c r="F311" s="55" t="s">
        <v>1724</v>
      </c>
      <c r="G311" s="42" t="s">
        <v>37</v>
      </c>
      <c r="H311" s="42">
        <v>2021</v>
      </c>
    </row>
    <row r="312" spans="1:8" x14ac:dyDescent="0.25">
      <c r="A312" s="257" t="s">
        <v>301</v>
      </c>
      <c r="B312" s="41" t="s">
        <v>1449</v>
      </c>
      <c r="C312" s="42" t="s">
        <v>559</v>
      </c>
      <c r="D312" s="43" t="s">
        <v>2595</v>
      </c>
      <c r="E312" s="47" t="s">
        <v>1230</v>
      </c>
      <c r="F312" s="55" t="s">
        <v>1724</v>
      </c>
      <c r="G312" s="42" t="s">
        <v>182</v>
      </c>
      <c r="H312" s="42">
        <v>2021</v>
      </c>
    </row>
    <row r="313" spans="1:8" x14ac:dyDescent="0.25">
      <c r="A313" s="257" t="s">
        <v>1881</v>
      </c>
      <c r="B313" s="41" t="s">
        <v>1450</v>
      </c>
      <c r="C313" s="42" t="s">
        <v>559</v>
      </c>
      <c r="D313" s="43" t="s">
        <v>2595</v>
      </c>
      <c r="E313" s="59" t="s">
        <v>1668</v>
      </c>
      <c r="F313" s="55" t="s">
        <v>1724</v>
      </c>
      <c r="G313" s="42" t="s">
        <v>37</v>
      </c>
      <c r="H313" s="42">
        <v>2023</v>
      </c>
    </row>
    <row r="314" spans="1:8" x14ac:dyDescent="0.25">
      <c r="A314" s="175" t="s">
        <v>1882</v>
      </c>
      <c r="B314" s="152" t="s">
        <v>1450</v>
      </c>
      <c r="C314" s="138" t="s">
        <v>559</v>
      </c>
      <c r="D314" s="150" t="s">
        <v>2595</v>
      </c>
      <c r="E314" s="153" t="s">
        <v>1668</v>
      </c>
      <c r="F314" s="140" t="s">
        <v>1724</v>
      </c>
      <c r="G314" s="138" t="s">
        <v>37</v>
      </c>
      <c r="H314" s="138">
        <v>2023</v>
      </c>
    </row>
    <row r="315" spans="1:8" x14ac:dyDescent="0.25">
      <c r="A315" s="257" t="s">
        <v>1883</v>
      </c>
      <c r="B315" s="41" t="s">
        <v>1450</v>
      </c>
      <c r="C315" s="42" t="s">
        <v>559</v>
      </c>
      <c r="D315" s="43" t="s">
        <v>2595</v>
      </c>
      <c r="E315" s="47" t="s">
        <v>1668</v>
      </c>
      <c r="F315" s="55" t="s">
        <v>1724</v>
      </c>
      <c r="G315" s="42" t="s">
        <v>37</v>
      </c>
      <c r="H315" s="42">
        <v>2023</v>
      </c>
    </row>
    <row r="316" spans="1:8" x14ac:dyDescent="0.25">
      <c r="A316" s="264" t="s">
        <v>1930</v>
      </c>
      <c r="B316" s="41" t="s">
        <v>1450</v>
      </c>
      <c r="C316" s="42" t="s">
        <v>559</v>
      </c>
      <c r="D316" s="43" t="s">
        <v>2595</v>
      </c>
      <c r="E316" s="47" t="s">
        <v>1668</v>
      </c>
      <c r="F316" s="55" t="s">
        <v>1724</v>
      </c>
      <c r="G316" s="42" t="s">
        <v>37</v>
      </c>
      <c r="H316" s="42">
        <v>2025</v>
      </c>
    </row>
    <row r="317" spans="1:8" x14ac:dyDescent="0.25">
      <c r="A317" s="257" t="s">
        <v>1931</v>
      </c>
      <c r="B317" s="41" t="s">
        <v>1450</v>
      </c>
      <c r="C317" s="42" t="s">
        <v>559</v>
      </c>
      <c r="D317" s="43" t="s">
        <v>2595</v>
      </c>
      <c r="E317" s="47" t="s">
        <v>1953</v>
      </c>
      <c r="F317" s="55" t="s">
        <v>1724</v>
      </c>
      <c r="G317" s="42" t="s">
        <v>37</v>
      </c>
      <c r="H317" s="42">
        <v>2025</v>
      </c>
    </row>
    <row r="318" spans="1:8" x14ac:dyDescent="0.25">
      <c r="A318" s="258">
        <v>215522</v>
      </c>
      <c r="B318" s="44" t="s">
        <v>2445</v>
      </c>
      <c r="C318" s="45" t="s">
        <v>345</v>
      </c>
      <c r="D318" s="46" t="s">
        <v>2595</v>
      </c>
      <c r="E318" s="56" t="s">
        <v>1174</v>
      </c>
      <c r="F318" s="57" t="s">
        <v>1732</v>
      </c>
      <c r="G318" s="45" t="s">
        <v>926</v>
      </c>
      <c r="H318" s="45">
        <v>1999</v>
      </c>
    </row>
    <row r="319" spans="1:8" x14ac:dyDescent="0.25">
      <c r="A319" s="258">
        <v>226765</v>
      </c>
      <c r="B319" s="44" t="s">
        <v>2445</v>
      </c>
      <c r="C319" s="45" t="s">
        <v>345</v>
      </c>
      <c r="D319" s="46" t="s">
        <v>2595</v>
      </c>
      <c r="E319" s="56" t="s">
        <v>1174</v>
      </c>
      <c r="F319" s="57" t="s">
        <v>1732</v>
      </c>
      <c r="G319" s="45" t="s">
        <v>926</v>
      </c>
      <c r="H319" s="45">
        <v>2016</v>
      </c>
    </row>
    <row r="320" spans="1:8" x14ac:dyDescent="0.25">
      <c r="A320" s="257">
        <v>227137</v>
      </c>
      <c r="B320" s="41" t="s">
        <v>2445</v>
      </c>
      <c r="C320" s="42" t="s">
        <v>345</v>
      </c>
      <c r="D320" s="43" t="s">
        <v>2595</v>
      </c>
      <c r="E320" s="47" t="s">
        <v>1174</v>
      </c>
      <c r="F320" s="55" t="s">
        <v>1732</v>
      </c>
      <c r="G320" s="42" t="s">
        <v>926</v>
      </c>
      <c r="H320" s="42">
        <v>2016</v>
      </c>
    </row>
    <row r="321" spans="1:8" x14ac:dyDescent="0.25">
      <c r="A321" s="264">
        <v>228634</v>
      </c>
      <c r="B321" s="41" t="s">
        <v>2445</v>
      </c>
      <c r="C321" s="42" t="s">
        <v>345</v>
      </c>
      <c r="D321" s="43" t="s">
        <v>2595</v>
      </c>
      <c r="E321" s="47" t="s">
        <v>1174</v>
      </c>
      <c r="F321" s="55" t="s">
        <v>1732</v>
      </c>
      <c r="G321" s="42" t="s">
        <v>1175</v>
      </c>
      <c r="H321" s="42">
        <v>2016</v>
      </c>
    </row>
    <row r="322" spans="1:8" x14ac:dyDescent="0.25">
      <c r="A322" s="258">
        <v>228636</v>
      </c>
      <c r="B322" s="44" t="s">
        <v>2445</v>
      </c>
      <c r="C322" s="45" t="s">
        <v>345</v>
      </c>
      <c r="D322" s="46" t="s">
        <v>2595</v>
      </c>
      <c r="E322" s="56" t="s">
        <v>1174</v>
      </c>
      <c r="F322" s="57" t="s">
        <v>1732</v>
      </c>
      <c r="G322" s="45" t="s">
        <v>1175</v>
      </c>
      <c r="H322" s="45">
        <v>2016</v>
      </c>
    </row>
    <row r="323" spans="1:8" x14ac:dyDescent="0.25">
      <c r="A323" s="257">
        <v>228663</v>
      </c>
      <c r="B323" s="41" t="s">
        <v>2445</v>
      </c>
      <c r="C323" s="42" t="s">
        <v>345</v>
      </c>
      <c r="D323" s="43" t="s">
        <v>2595</v>
      </c>
      <c r="E323" s="47" t="s">
        <v>1174</v>
      </c>
      <c r="F323" s="55" t="s">
        <v>1732</v>
      </c>
      <c r="G323" s="42" t="s">
        <v>926</v>
      </c>
      <c r="H323" s="42">
        <v>2017</v>
      </c>
    </row>
    <row r="324" spans="1:8" x14ac:dyDescent="0.25">
      <c r="A324" s="258" t="s">
        <v>1565</v>
      </c>
      <c r="B324" s="44" t="s">
        <v>1094</v>
      </c>
      <c r="C324" s="45" t="s">
        <v>1095</v>
      </c>
      <c r="D324" s="46" t="s">
        <v>2595</v>
      </c>
      <c r="E324" s="56" t="s">
        <v>1384</v>
      </c>
      <c r="F324" s="57" t="s">
        <v>1725</v>
      </c>
      <c r="G324" s="45" t="s">
        <v>24</v>
      </c>
      <c r="H324" s="45">
        <v>2023</v>
      </c>
    </row>
    <row r="325" spans="1:8" x14ac:dyDescent="0.25">
      <c r="A325" s="258" t="s">
        <v>227</v>
      </c>
      <c r="B325" s="44" t="s">
        <v>2446</v>
      </c>
      <c r="C325" s="45" t="s">
        <v>416</v>
      </c>
      <c r="D325" s="46" t="s">
        <v>2595</v>
      </c>
      <c r="E325" s="56" t="s">
        <v>1170</v>
      </c>
      <c r="F325" s="57" t="s">
        <v>1732</v>
      </c>
      <c r="G325" s="45" t="s">
        <v>24</v>
      </c>
      <c r="H325" s="45">
        <v>2021</v>
      </c>
    </row>
    <row r="326" spans="1:8" x14ac:dyDescent="0.25">
      <c r="A326" s="258">
        <v>230061</v>
      </c>
      <c r="B326" s="44" t="s">
        <v>2446</v>
      </c>
      <c r="C326" s="45" t="s">
        <v>416</v>
      </c>
      <c r="D326" s="46" t="s">
        <v>2595</v>
      </c>
      <c r="E326" s="56" t="s">
        <v>1168</v>
      </c>
      <c r="F326" s="57" t="s">
        <v>1732</v>
      </c>
      <c r="G326" s="45" t="s">
        <v>926</v>
      </c>
      <c r="H326" s="45">
        <v>2018</v>
      </c>
    </row>
    <row r="327" spans="1:8" x14ac:dyDescent="0.25">
      <c r="A327" s="258">
        <v>208488</v>
      </c>
      <c r="B327" s="44" t="s">
        <v>2447</v>
      </c>
      <c r="C327" s="45" t="s">
        <v>369</v>
      </c>
      <c r="D327" s="46" t="s">
        <v>2595</v>
      </c>
      <c r="E327" s="56"/>
      <c r="F327" s="57" t="s">
        <v>1732</v>
      </c>
      <c r="G327" s="45" t="s">
        <v>926</v>
      </c>
      <c r="H327" s="45">
        <v>2009</v>
      </c>
    </row>
    <row r="328" spans="1:8" x14ac:dyDescent="0.25">
      <c r="A328" s="258">
        <v>221683</v>
      </c>
      <c r="B328" s="44" t="s">
        <v>53</v>
      </c>
      <c r="C328" s="45" t="s">
        <v>378</v>
      </c>
      <c r="D328" s="46" t="s">
        <v>2595</v>
      </c>
      <c r="E328" s="56"/>
      <c r="F328" s="57" t="s">
        <v>1828</v>
      </c>
      <c r="G328" s="45" t="s">
        <v>1134</v>
      </c>
      <c r="H328" s="45">
        <v>2012</v>
      </c>
    </row>
    <row r="329" spans="1:8" x14ac:dyDescent="0.25">
      <c r="A329" s="258">
        <v>228662</v>
      </c>
      <c r="B329" s="44" t="s">
        <v>162</v>
      </c>
      <c r="C329" s="45" t="s">
        <v>492</v>
      </c>
      <c r="D329" s="46" t="s">
        <v>2595</v>
      </c>
      <c r="E329" s="56"/>
      <c r="F329" s="57" t="s">
        <v>1745</v>
      </c>
      <c r="G329" s="45" t="s">
        <v>1113</v>
      </c>
      <c r="H329" s="45">
        <v>2017</v>
      </c>
    </row>
    <row r="330" spans="1:8" x14ac:dyDescent="0.25">
      <c r="A330" s="258" t="s">
        <v>1563</v>
      </c>
      <c r="B330" s="44" t="s">
        <v>1454</v>
      </c>
      <c r="C330" s="45" t="s">
        <v>1602</v>
      </c>
      <c r="D330" s="46" t="s">
        <v>1612</v>
      </c>
      <c r="E330" s="56" t="s">
        <v>1672</v>
      </c>
      <c r="F330" s="57" t="s">
        <v>1731</v>
      </c>
      <c r="G330" s="45" t="s">
        <v>24</v>
      </c>
      <c r="H330" s="45">
        <v>2023</v>
      </c>
    </row>
    <row r="331" spans="1:8" x14ac:dyDescent="0.25">
      <c r="A331" s="258" t="s">
        <v>193</v>
      </c>
      <c r="B331" s="44" t="s">
        <v>2448</v>
      </c>
      <c r="C331" s="45" t="s">
        <v>526</v>
      </c>
      <c r="D331" s="46" t="s">
        <v>2596</v>
      </c>
      <c r="E331" s="56" t="s">
        <v>1410</v>
      </c>
      <c r="F331" s="57" t="s">
        <v>1725</v>
      </c>
      <c r="G331" s="45" t="s">
        <v>24</v>
      </c>
      <c r="H331" s="45">
        <v>2020</v>
      </c>
    </row>
    <row r="332" spans="1:8" x14ac:dyDescent="0.25">
      <c r="A332" s="258" t="s">
        <v>1422</v>
      </c>
      <c r="B332" s="44" t="s">
        <v>1021</v>
      </c>
      <c r="C332" s="45" t="s">
        <v>937</v>
      </c>
      <c r="D332" s="46" t="s">
        <v>2596</v>
      </c>
      <c r="E332" s="56" t="s">
        <v>1130</v>
      </c>
      <c r="F332" s="57" t="s">
        <v>1828</v>
      </c>
      <c r="G332" s="45" t="s">
        <v>24</v>
      </c>
      <c r="H332" s="45">
        <v>2020</v>
      </c>
    </row>
    <row r="333" spans="1:8" x14ac:dyDescent="0.25">
      <c r="A333" s="258" t="s">
        <v>1421</v>
      </c>
      <c r="B333" s="44" t="s">
        <v>1021</v>
      </c>
      <c r="C333" s="45" t="s">
        <v>937</v>
      </c>
      <c r="D333" s="46" t="s">
        <v>2596</v>
      </c>
      <c r="E333" s="56" t="s">
        <v>1130</v>
      </c>
      <c r="F333" s="57" t="s">
        <v>1828</v>
      </c>
      <c r="G333" s="45" t="s">
        <v>24</v>
      </c>
      <c r="H333" s="45">
        <v>2020</v>
      </c>
    </row>
    <row r="334" spans="1:8" x14ac:dyDescent="0.25">
      <c r="A334" s="258" t="s">
        <v>1131</v>
      </c>
      <c r="B334" s="44" t="s">
        <v>1021</v>
      </c>
      <c r="C334" s="45" t="s">
        <v>937</v>
      </c>
      <c r="D334" s="46" t="s">
        <v>2596</v>
      </c>
      <c r="E334" s="56" t="s">
        <v>1130</v>
      </c>
      <c r="F334" s="57" t="s">
        <v>1828</v>
      </c>
      <c r="G334" s="45" t="s">
        <v>24</v>
      </c>
      <c r="H334" s="45">
        <v>2022</v>
      </c>
    </row>
    <row r="335" spans="1:8" x14ac:dyDescent="0.25">
      <c r="A335" s="258" t="s">
        <v>1852</v>
      </c>
      <c r="B335" s="44" t="s">
        <v>2023</v>
      </c>
      <c r="C335" s="45" t="s">
        <v>1583</v>
      </c>
      <c r="D335" s="46" t="s">
        <v>1609</v>
      </c>
      <c r="E335" s="56" t="s">
        <v>1753</v>
      </c>
      <c r="F335" s="57" t="s">
        <v>1725</v>
      </c>
      <c r="G335" s="45" t="s">
        <v>24</v>
      </c>
      <c r="H335" s="45">
        <v>2024</v>
      </c>
    </row>
    <row r="336" spans="1:8" x14ac:dyDescent="0.25">
      <c r="A336" s="258" t="s">
        <v>1475</v>
      </c>
      <c r="B336" s="44" t="s">
        <v>2024</v>
      </c>
      <c r="C336" s="45" t="s">
        <v>1583</v>
      </c>
      <c r="D336" s="46" t="s">
        <v>1609</v>
      </c>
      <c r="E336" s="56" t="s">
        <v>1631</v>
      </c>
      <c r="F336" s="57" t="s">
        <v>1731</v>
      </c>
      <c r="G336" s="45" t="s">
        <v>24</v>
      </c>
      <c r="H336" s="45">
        <v>2023</v>
      </c>
    </row>
    <row r="337" spans="1:8" x14ac:dyDescent="0.25">
      <c r="A337" s="264">
        <v>220119</v>
      </c>
      <c r="B337" s="41" t="s">
        <v>34</v>
      </c>
      <c r="C337" s="42" t="s">
        <v>350</v>
      </c>
      <c r="D337" s="43" t="s">
        <v>1609</v>
      </c>
      <c r="E337" s="59" t="s">
        <v>1137</v>
      </c>
      <c r="F337" s="55" t="s">
        <v>1828</v>
      </c>
      <c r="G337" s="42" t="s">
        <v>926</v>
      </c>
      <c r="H337" s="42">
        <v>2009</v>
      </c>
    </row>
    <row r="338" spans="1:8" x14ac:dyDescent="0.25">
      <c r="A338" s="264">
        <v>220120</v>
      </c>
      <c r="B338" s="41" t="s">
        <v>34</v>
      </c>
      <c r="C338" s="42" t="s">
        <v>350</v>
      </c>
      <c r="D338" s="43" t="s">
        <v>1609</v>
      </c>
      <c r="E338" s="47" t="s">
        <v>1137</v>
      </c>
      <c r="F338" s="55" t="s">
        <v>1828</v>
      </c>
      <c r="G338" s="42" t="s">
        <v>926</v>
      </c>
      <c r="H338" s="42">
        <v>2009</v>
      </c>
    </row>
    <row r="339" spans="1:8" x14ac:dyDescent="0.25">
      <c r="A339" s="257" t="s">
        <v>1483</v>
      </c>
      <c r="B339" s="41" t="s">
        <v>1437</v>
      </c>
      <c r="C339" s="42" t="s">
        <v>1587</v>
      </c>
      <c r="D339" s="43" t="s">
        <v>1609</v>
      </c>
      <c r="E339" s="59" t="s">
        <v>1637</v>
      </c>
      <c r="F339" s="55" t="s">
        <v>1731</v>
      </c>
      <c r="G339" s="42" t="s">
        <v>24</v>
      </c>
      <c r="H339" s="42">
        <v>2023</v>
      </c>
    </row>
    <row r="340" spans="1:8" x14ac:dyDescent="0.25">
      <c r="A340" s="257" t="s">
        <v>1567</v>
      </c>
      <c r="B340" s="41" t="s">
        <v>1455</v>
      </c>
      <c r="C340" s="42" t="s">
        <v>1604</v>
      </c>
      <c r="D340" s="43" t="s">
        <v>1609</v>
      </c>
      <c r="E340" s="47" t="s">
        <v>1675</v>
      </c>
      <c r="F340" s="55" t="s">
        <v>1725</v>
      </c>
      <c r="G340" s="42" t="s">
        <v>24</v>
      </c>
      <c r="H340" s="42">
        <v>2023</v>
      </c>
    </row>
    <row r="341" spans="1:8" x14ac:dyDescent="0.25">
      <c r="A341" s="264" t="s">
        <v>1846</v>
      </c>
      <c r="B341" s="41" t="s">
        <v>1734</v>
      </c>
      <c r="C341" s="42" t="s">
        <v>1735</v>
      </c>
      <c r="D341" s="43" t="s">
        <v>2597</v>
      </c>
      <c r="E341" s="59" t="s">
        <v>1736</v>
      </c>
      <c r="F341" s="55" t="s">
        <v>1725</v>
      </c>
      <c r="G341" s="42" t="s">
        <v>24</v>
      </c>
      <c r="H341" s="42">
        <v>2024</v>
      </c>
    </row>
    <row r="342" spans="1:8" x14ac:dyDescent="0.25">
      <c r="A342" s="264" t="s">
        <v>1471</v>
      </c>
      <c r="B342" s="41" t="s">
        <v>1433</v>
      </c>
      <c r="C342" s="42" t="s">
        <v>1582</v>
      </c>
      <c r="D342" s="43" t="s">
        <v>1607</v>
      </c>
      <c r="E342" s="47" t="s">
        <v>1629</v>
      </c>
      <c r="F342" s="55" t="s">
        <v>1731</v>
      </c>
      <c r="G342" s="127" t="s">
        <v>1680</v>
      </c>
      <c r="H342" s="162">
        <v>2023</v>
      </c>
    </row>
    <row r="343" spans="1:8" x14ac:dyDescent="0.25">
      <c r="A343" s="264" t="s">
        <v>1509</v>
      </c>
      <c r="B343" s="41" t="s">
        <v>1070</v>
      </c>
      <c r="C343" s="42" t="s">
        <v>1071</v>
      </c>
      <c r="D343" s="43" t="s">
        <v>2598</v>
      </c>
      <c r="E343" s="47" t="s">
        <v>1319</v>
      </c>
      <c r="F343" s="55" t="s">
        <v>1776</v>
      </c>
      <c r="G343" s="127" t="s">
        <v>260</v>
      </c>
      <c r="H343" s="162">
        <v>2023</v>
      </c>
    </row>
    <row r="344" spans="1:8" x14ac:dyDescent="0.25">
      <c r="A344" s="175" t="s">
        <v>1320</v>
      </c>
      <c r="B344" s="41" t="s">
        <v>1070</v>
      </c>
      <c r="C344" s="42" t="s">
        <v>1071</v>
      </c>
      <c r="D344" s="43" t="s">
        <v>2598</v>
      </c>
      <c r="E344" s="151" t="s">
        <v>1319</v>
      </c>
      <c r="F344" s="55" t="s">
        <v>1776</v>
      </c>
      <c r="G344" s="138" t="s">
        <v>260</v>
      </c>
      <c r="H344" s="138">
        <v>2022</v>
      </c>
    </row>
    <row r="345" spans="1:8" x14ac:dyDescent="0.25">
      <c r="A345" s="175">
        <v>228673</v>
      </c>
      <c r="B345" s="41" t="s">
        <v>2449</v>
      </c>
      <c r="C345" s="42" t="s">
        <v>421</v>
      </c>
      <c r="D345" s="43" t="s">
        <v>2598</v>
      </c>
      <c r="E345" s="151" t="s">
        <v>1379</v>
      </c>
      <c r="F345" s="55" t="s">
        <v>1732</v>
      </c>
      <c r="G345" s="138" t="s">
        <v>926</v>
      </c>
      <c r="H345" s="138">
        <v>2017</v>
      </c>
    </row>
    <row r="346" spans="1:8" x14ac:dyDescent="0.25">
      <c r="A346" s="265">
        <v>229285</v>
      </c>
      <c r="B346" s="41" t="s">
        <v>2449</v>
      </c>
      <c r="C346" s="42" t="s">
        <v>421</v>
      </c>
      <c r="D346" s="43" t="s">
        <v>2598</v>
      </c>
      <c r="E346" s="153" t="s">
        <v>1379</v>
      </c>
      <c r="F346" s="55" t="s">
        <v>1732</v>
      </c>
      <c r="G346" s="138" t="s">
        <v>926</v>
      </c>
      <c r="H346" s="138">
        <v>2017</v>
      </c>
    </row>
    <row r="347" spans="1:8" x14ac:dyDescent="0.25">
      <c r="A347" s="257">
        <v>228675</v>
      </c>
      <c r="B347" s="41" t="s">
        <v>2450</v>
      </c>
      <c r="C347" s="42" t="s">
        <v>422</v>
      </c>
      <c r="D347" s="43" t="s">
        <v>2598</v>
      </c>
      <c r="E347" s="47"/>
      <c r="F347" s="55" t="s">
        <v>1758</v>
      </c>
      <c r="G347" s="42" t="s">
        <v>926</v>
      </c>
      <c r="H347" s="42">
        <v>2017</v>
      </c>
    </row>
    <row r="348" spans="1:8" x14ac:dyDescent="0.25">
      <c r="A348" s="257" t="s">
        <v>1361</v>
      </c>
      <c r="B348" s="41" t="s">
        <v>1090</v>
      </c>
      <c r="C348" s="42" t="s">
        <v>422</v>
      </c>
      <c r="D348" s="43" t="s">
        <v>2598</v>
      </c>
      <c r="E348" s="47"/>
      <c r="F348" s="55" t="s">
        <v>1758</v>
      </c>
      <c r="G348" s="42" t="s">
        <v>24</v>
      </c>
      <c r="H348" s="42">
        <v>2017</v>
      </c>
    </row>
    <row r="349" spans="1:8" x14ac:dyDescent="0.25">
      <c r="A349" s="257">
        <v>230059</v>
      </c>
      <c r="B349" s="41" t="s">
        <v>2451</v>
      </c>
      <c r="C349" s="42" t="s">
        <v>415</v>
      </c>
      <c r="D349" s="43" t="s">
        <v>2598</v>
      </c>
      <c r="E349" s="154" t="s">
        <v>1183</v>
      </c>
      <c r="F349" s="55" t="s">
        <v>1732</v>
      </c>
      <c r="G349" s="42" t="s">
        <v>926</v>
      </c>
      <c r="H349" s="42">
        <v>2017</v>
      </c>
    </row>
    <row r="350" spans="1:8" x14ac:dyDescent="0.25">
      <c r="A350" s="257">
        <v>226728</v>
      </c>
      <c r="B350" s="41" t="s">
        <v>2452</v>
      </c>
      <c r="C350" s="42" t="s">
        <v>421</v>
      </c>
      <c r="D350" s="43" t="s">
        <v>2598</v>
      </c>
      <c r="E350" s="154" t="s">
        <v>1379</v>
      </c>
      <c r="F350" s="55" t="s">
        <v>1732</v>
      </c>
      <c r="G350" s="42" t="s">
        <v>886</v>
      </c>
      <c r="H350" s="42">
        <v>2015</v>
      </c>
    </row>
    <row r="351" spans="1:8" x14ac:dyDescent="0.25">
      <c r="A351" s="257" t="s">
        <v>289</v>
      </c>
      <c r="B351" s="41" t="s">
        <v>1743</v>
      </c>
      <c r="C351" s="42" t="s">
        <v>356</v>
      </c>
      <c r="D351" s="43" t="s">
        <v>898</v>
      </c>
      <c r="E351" s="59" t="s">
        <v>1622</v>
      </c>
      <c r="F351" s="55" t="s">
        <v>1725</v>
      </c>
      <c r="G351" s="42" t="s">
        <v>24</v>
      </c>
      <c r="H351" s="42">
        <v>2021</v>
      </c>
    </row>
    <row r="352" spans="1:8" x14ac:dyDescent="0.25">
      <c r="A352" s="257">
        <v>231543</v>
      </c>
      <c r="B352" s="41" t="s">
        <v>92</v>
      </c>
      <c r="C352" s="42" t="s">
        <v>420</v>
      </c>
      <c r="D352" s="43" t="s">
        <v>898</v>
      </c>
      <c r="E352" s="59" t="s">
        <v>1397</v>
      </c>
      <c r="F352" s="55" t="s">
        <v>1742</v>
      </c>
      <c r="G352" s="42" t="s">
        <v>926</v>
      </c>
      <c r="H352" s="42">
        <v>2019</v>
      </c>
    </row>
    <row r="353" spans="1:8" x14ac:dyDescent="0.25">
      <c r="A353" s="257" t="s">
        <v>229</v>
      </c>
      <c r="B353" s="41" t="s">
        <v>228</v>
      </c>
      <c r="C353" s="42" t="s">
        <v>540</v>
      </c>
      <c r="D353" s="43" t="s">
        <v>898</v>
      </c>
      <c r="E353" s="59" t="s">
        <v>1395</v>
      </c>
      <c r="F353" s="55" t="s">
        <v>1732</v>
      </c>
      <c r="G353" s="42" t="s">
        <v>24</v>
      </c>
      <c r="H353" s="42">
        <v>2021</v>
      </c>
    </row>
    <row r="354" spans="1:8" x14ac:dyDescent="0.25">
      <c r="A354" s="257" t="s">
        <v>1477</v>
      </c>
      <c r="B354" s="41" t="s">
        <v>1435</v>
      </c>
      <c r="C354" s="42" t="s">
        <v>1585</v>
      </c>
      <c r="D354" s="43" t="s">
        <v>1608</v>
      </c>
      <c r="E354" s="47" t="s">
        <v>1633</v>
      </c>
      <c r="F354" s="55" t="s">
        <v>1731</v>
      </c>
      <c r="G354" s="42" t="s">
        <v>24</v>
      </c>
      <c r="H354" s="42">
        <v>2023</v>
      </c>
    </row>
    <row r="355" spans="1:8" x14ac:dyDescent="0.25">
      <c r="A355" s="261" t="s">
        <v>2393</v>
      </c>
      <c r="B355" s="41" t="s">
        <v>2453</v>
      </c>
      <c r="C355" s="42" t="s">
        <v>456</v>
      </c>
      <c r="D355" s="43" t="s">
        <v>1608</v>
      </c>
      <c r="E355" s="47" t="s">
        <v>2547</v>
      </c>
      <c r="F355" s="55" t="s">
        <v>1731</v>
      </c>
      <c r="G355" s="42" t="s">
        <v>24</v>
      </c>
      <c r="H355" s="42">
        <v>2025</v>
      </c>
    </row>
    <row r="356" spans="1:8" x14ac:dyDescent="0.25">
      <c r="A356" s="261" t="s">
        <v>1521</v>
      </c>
      <c r="B356" s="41" t="s">
        <v>175</v>
      </c>
      <c r="C356" s="42" t="s">
        <v>507</v>
      </c>
      <c r="D356" s="43" t="s">
        <v>1608</v>
      </c>
      <c r="E356" s="158" t="s">
        <v>1288</v>
      </c>
      <c r="F356" s="55" t="s">
        <v>1786</v>
      </c>
      <c r="G356" s="42" t="s">
        <v>24</v>
      </c>
      <c r="H356" s="42">
        <v>2019</v>
      </c>
    </row>
    <row r="357" spans="1:8" x14ac:dyDescent="0.25">
      <c r="A357" s="258">
        <v>235252</v>
      </c>
      <c r="B357" s="44" t="s">
        <v>2454</v>
      </c>
      <c r="C357" s="45" t="s">
        <v>1044</v>
      </c>
      <c r="D357" s="46" t="s">
        <v>2599</v>
      </c>
      <c r="E357" s="56" t="s">
        <v>1817</v>
      </c>
      <c r="F357" s="57" t="s">
        <v>1780</v>
      </c>
      <c r="G357" s="45" t="s">
        <v>1832</v>
      </c>
      <c r="H357" s="45">
        <v>2024</v>
      </c>
    </row>
    <row r="358" spans="1:8" x14ac:dyDescent="0.25">
      <c r="A358" s="258" t="s">
        <v>1966</v>
      </c>
      <c r="B358" s="44" t="s">
        <v>48</v>
      </c>
      <c r="C358" s="45" t="s">
        <v>372</v>
      </c>
      <c r="D358" s="46" t="s">
        <v>2599</v>
      </c>
      <c r="E358" s="56"/>
      <c r="F358" s="57" t="s">
        <v>1780</v>
      </c>
      <c r="G358" s="45" t="s">
        <v>1398</v>
      </c>
      <c r="H358" s="45">
        <v>2011</v>
      </c>
    </row>
    <row r="359" spans="1:8" x14ac:dyDescent="0.25">
      <c r="A359" s="258" t="s">
        <v>1966</v>
      </c>
      <c r="B359" s="44" t="s">
        <v>48</v>
      </c>
      <c r="C359" s="45" t="s">
        <v>372</v>
      </c>
      <c r="D359" s="46" t="s">
        <v>2599</v>
      </c>
      <c r="E359" s="56"/>
      <c r="F359" s="57" t="s">
        <v>1780</v>
      </c>
      <c r="G359" s="45" t="s">
        <v>1398</v>
      </c>
      <c r="H359" s="45">
        <v>2011</v>
      </c>
    </row>
    <row r="360" spans="1:8" x14ac:dyDescent="0.25">
      <c r="A360" s="258" t="s">
        <v>1560</v>
      </c>
      <c r="B360" s="44" t="s">
        <v>1452</v>
      </c>
      <c r="C360" s="45">
        <v>20517952533</v>
      </c>
      <c r="D360" s="46" t="s">
        <v>2600</v>
      </c>
      <c r="E360" s="56" t="s">
        <v>1670</v>
      </c>
      <c r="F360" s="57" t="s">
        <v>1764</v>
      </c>
      <c r="G360" s="45" t="s">
        <v>1680</v>
      </c>
      <c r="H360" s="45">
        <v>2022</v>
      </c>
    </row>
    <row r="361" spans="1:8" x14ac:dyDescent="0.25">
      <c r="A361" s="257" t="s">
        <v>1561</v>
      </c>
      <c r="B361" s="41" t="s">
        <v>1452</v>
      </c>
      <c r="C361" s="42">
        <v>20517952533</v>
      </c>
      <c r="D361" s="43" t="s">
        <v>2600</v>
      </c>
      <c r="E361" s="47" t="s">
        <v>1670</v>
      </c>
      <c r="F361" s="55" t="s">
        <v>1764</v>
      </c>
      <c r="G361" s="42" t="s">
        <v>1680</v>
      </c>
      <c r="H361" s="42">
        <v>2022</v>
      </c>
    </row>
    <row r="362" spans="1:8" x14ac:dyDescent="0.25">
      <c r="A362" s="257" t="s">
        <v>1933</v>
      </c>
      <c r="B362" s="41" t="s">
        <v>1452</v>
      </c>
      <c r="C362" s="42">
        <v>20517952533</v>
      </c>
      <c r="D362" s="43" t="s">
        <v>2600</v>
      </c>
      <c r="E362" s="47" t="s">
        <v>1670</v>
      </c>
      <c r="F362" s="55" t="s">
        <v>1764</v>
      </c>
      <c r="G362" s="42" t="s">
        <v>37</v>
      </c>
      <c r="H362" s="42">
        <v>2024</v>
      </c>
    </row>
    <row r="363" spans="1:8" x14ac:dyDescent="0.25">
      <c r="A363" s="257" t="s">
        <v>1569</v>
      </c>
      <c r="B363" s="41" t="s">
        <v>1456</v>
      </c>
      <c r="C363" s="42" t="s">
        <v>1605</v>
      </c>
      <c r="D363" s="43" t="s">
        <v>2600</v>
      </c>
      <c r="E363" s="47" t="s">
        <v>1678</v>
      </c>
      <c r="F363" s="55" t="s">
        <v>1823</v>
      </c>
      <c r="G363" s="42" t="s">
        <v>260</v>
      </c>
      <c r="H363" s="42">
        <v>2023</v>
      </c>
    </row>
    <row r="364" spans="1:8" x14ac:dyDescent="0.25">
      <c r="A364" s="257">
        <v>231058</v>
      </c>
      <c r="B364" s="41" t="s">
        <v>45</v>
      </c>
      <c r="C364" s="42" t="s">
        <v>367</v>
      </c>
      <c r="D364" s="43" t="s">
        <v>2600</v>
      </c>
      <c r="E364" s="47"/>
      <c r="F364" s="55" t="s">
        <v>1732</v>
      </c>
      <c r="G364" s="42" t="s">
        <v>926</v>
      </c>
      <c r="H364" s="42">
        <v>2018</v>
      </c>
    </row>
    <row r="365" spans="1:8" x14ac:dyDescent="0.25">
      <c r="A365" s="257" t="s">
        <v>263</v>
      </c>
      <c r="B365" s="41" t="s">
        <v>262</v>
      </c>
      <c r="C365" s="42" t="s">
        <v>551</v>
      </c>
      <c r="D365" s="43" t="s">
        <v>2600</v>
      </c>
      <c r="E365" s="59"/>
      <c r="F365" s="55" t="s">
        <v>1732</v>
      </c>
      <c r="G365" s="42" t="s">
        <v>24</v>
      </c>
      <c r="H365" s="42">
        <v>2021</v>
      </c>
    </row>
    <row r="366" spans="1:8" x14ac:dyDescent="0.25">
      <c r="A366" s="257" t="s">
        <v>221</v>
      </c>
      <c r="B366" s="41" t="s">
        <v>1039</v>
      </c>
      <c r="C366" s="42" t="s">
        <v>538</v>
      </c>
      <c r="D366" s="43" t="s">
        <v>921</v>
      </c>
      <c r="E366" s="47" t="s">
        <v>1182</v>
      </c>
      <c r="F366" s="55" t="s">
        <v>1732</v>
      </c>
      <c r="G366" s="42" t="s">
        <v>24</v>
      </c>
      <c r="H366" s="42">
        <v>2021</v>
      </c>
    </row>
    <row r="367" spans="1:8" x14ac:dyDescent="0.25">
      <c r="A367" s="258">
        <v>229362</v>
      </c>
      <c r="B367" s="44" t="s">
        <v>161</v>
      </c>
      <c r="C367" s="45" t="s">
        <v>491</v>
      </c>
      <c r="D367" s="46" t="s">
        <v>2601</v>
      </c>
      <c r="E367" s="56" t="s">
        <v>1121</v>
      </c>
      <c r="F367" s="57" t="s">
        <v>1745</v>
      </c>
      <c r="G367" s="45" t="s">
        <v>926</v>
      </c>
      <c r="H367" s="45">
        <v>2017</v>
      </c>
    </row>
    <row r="368" spans="1:8" x14ac:dyDescent="0.25">
      <c r="A368" s="258" t="s">
        <v>254</v>
      </c>
      <c r="B368" s="44" t="s">
        <v>253</v>
      </c>
      <c r="C368" s="45" t="s">
        <v>547</v>
      </c>
      <c r="D368" s="46" t="s">
        <v>2601</v>
      </c>
      <c r="E368" s="56" t="s">
        <v>1677</v>
      </c>
      <c r="F368" s="57" t="s">
        <v>1745</v>
      </c>
      <c r="G368" s="45" t="s">
        <v>24</v>
      </c>
      <c r="H368" s="45">
        <v>2021</v>
      </c>
    </row>
    <row r="369" spans="1:8" x14ac:dyDescent="0.25">
      <c r="A369" s="257">
        <v>226766</v>
      </c>
      <c r="B369" s="41" t="s">
        <v>222</v>
      </c>
      <c r="C369" s="42" t="s">
        <v>404</v>
      </c>
      <c r="D369" s="43" t="s">
        <v>2601</v>
      </c>
      <c r="E369" s="47" t="s">
        <v>1156</v>
      </c>
      <c r="F369" s="55" t="s">
        <v>1745</v>
      </c>
      <c r="G369" s="42" t="s">
        <v>926</v>
      </c>
      <c r="H369" s="42">
        <v>2015</v>
      </c>
    </row>
    <row r="370" spans="1:8" x14ac:dyDescent="0.25">
      <c r="A370" s="257" t="s">
        <v>223</v>
      </c>
      <c r="B370" s="41" t="s">
        <v>222</v>
      </c>
      <c r="C370" s="42" t="s">
        <v>404</v>
      </c>
      <c r="D370" s="43" t="s">
        <v>2601</v>
      </c>
      <c r="E370" s="47" t="s">
        <v>1156</v>
      </c>
      <c r="F370" s="55" t="s">
        <v>1745</v>
      </c>
      <c r="G370" s="42" t="s">
        <v>24</v>
      </c>
      <c r="H370" s="42">
        <v>2021</v>
      </c>
    </row>
    <row r="371" spans="1:8" x14ac:dyDescent="0.25">
      <c r="A371" s="257" t="s">
        <v>302</v>
      </c>
      <c r="B371" s="41" t="s">
        <v>222</v>
      </c>
      <c r="C371" s="42" t="s">
        <v>404</v>
      </c>
      <c r="D371" s="43" t="s">
        <v>2601</v>
      </c>
      <c r="E371" s="47" t="s">
        <v>1156</v>
      </c>
      <c r="F371" s="55" t="s">
        <v>1745</v>
      </c>
      <c r="G371" s="42" t="s">
        <v>24</v>
      </c>
      <c r="H371" s="42">
        <v>2021</v>
      </c>
    </row>
    <row r="372" spans="1:8" x14ac:dyDescent="0.25">
      <c r="A372" s="257">
        <v>215180</v>
      </c>
      <c r="B372" s="41" t="s">
        <v>95</v>
      </c>
      <c r="C372" s="42" t="s">
        <v>425</v>
      </c>
      <c r="D372" s="43" t="s">
        <v>909</v>
      </c>
      <c r="E372" s="47"/>
      <c r="F372" s="55" t="s">
        <v>1761</v>
      </c>
      <c r="G372" s="42" t="s">
        <v>926</v>
      </c>
      <c r="H372" s="42">
        <v>2010</v>
      </c>
    </row>
    <row r="373" spans="1:8" x14ac:dyDescent="0.25">
      <c r="A373" s="257" t="s">
        <v>258</v>
      </c>
      <c r="B373" s="41" t="s">
        <v>257</v>
      </c>
      <c r="C373" s="42" t="s">
        <v>549</v>
      </c>
      <c r="D373" s="43" t="s">
        <v>909</v>
      </c>
      <c r="E373" s="47"/>
      <c r="F373" s="55" t="s">
        <v>1725</v>
      </c>
      <c r="G373" s="42" t="s">
        <v>182</v>
      </c>
      <c r="H373" s="42">
        <v>2021</v>
      </c>
    </row>
    <row r="374" spans="1:8" x14ac:dyDescent="0.25">
      <c r="A374" s="257">
        <v>222883</v>
      </c>
      <c r="B374" s="41" t="s">
        <v>77</v>
      </c>
      <c r="C374" s="42" t="s">
        <v>402</v>
      </c>
      <c r="D374" s="43" t="s">
        <v>906</v>
      </c>
      <c r="E374" s="47" t="s">
        <v>1625</v>
      </c>
      <c r="F374" s="55" t="s">
        <v>1732</v>
      </c>
      <c r="G374" s="42" t="s">
        <v>1744</v>
      </c>
      <c r="H374" s="42">
        <v>2013</v>
      </c>
    </row>
    <row r="375" spans="1:8" x14ac:dyDescent="0.25">
      <c r="A375" s="257" t="s">
        <v>1487</v>
      </c>
      <c r="B375" s="41" t="s">
        <v>168</v>
      </c>
      <c r="C375" s="42" t="s">
        <v>498</v>
      </c>
      <c r="D375" s="43" t="s">
        <v>906</v>
      </c>
      <c r="E375" s="47" t="s">
        <v>1360</v>
      </c>
      <c r="F375" s="55" t="s">
        <v>1725</v>
      </c>
      <c r="G375" s="42" t="s">
        <v>24</v>
      </c>
      <c r="H375" s="42">
        <v>2019</v>
      </c>
    </row>
    <row r="376" spans="1:8" x14ac:dyDescent="0.25">
      <c r="A376" s="257" t="s">
        <v>1485</v>
      </c>
      <c r="B376" s="41" t="s">
        <v>1439</v>
      </c>
      <c r="C376" s="42" t="s">
        <v>1589</v>
      </c>
      <c r="D376" s="43" t="s">
        <v>2602</v>
      </c>
      <c r="E376" s="47" t="s">
        <v>1639</v>
      </c>
      <c r="F376" s="55" t="s">
        <v>1731</v>
      </c>
      <c r="G376" s="42" t="s">
        <v>24</v>
      </c>
      <c r="H376" s="42">
        <v>2021</v>
      </c>
    </row>
    <row r="377" spans="1:8" x14ac:dyDescent="0.25">
      <c r="A377" s="257" t="s">
        <v>1351</v>
      </c>
      <c r="B377" s="41" t="s">
        <v>1084</v>
      </c>
      <c r="C377" s="42" t="s">
        <v>1082</v>
      </c>
      <c r="D377" s="43" t="s">
        <v>1083</v>
      </c>
      <c r="E377" s="47" t="s">
        <v>1350</v>
      </c>
      <c r="F377" s="55" t="s">
        <v>1725</v>
      </c>
      <c r="G377" s="42" t="s">
        <v>24</v>
      </c>
      <c r="H377" s="42">
        <v>2022</v>
      </c>
    </row>
    <row r="378" spans="1:8" x14ac:dyDescent="0.25">
      <c r="A378" s="175" t="s">
        <v>1349</v>
      </c>
      <c r="B378" s="152" t="s">
        <v>1081</v>
      </c>
      <c r="C378" s="138" t="s">
        <v>1082</v>
      </c>
      <c r="D378" s="150" t="s">
        <v>1083</v>
      </c>
      <c r="E378" s="153" t="s">
        <v>1348</v>
      </c>
      <c r="F378" s="140" t="s">
        <v>1725</v>
      </c>
      <c r="G378" s="138" t="s">
        <v>24</v>
      </c>
      <c r="H378" s="138">
        <v>2022</v>
      </c>
    </row>
    <row r="379" spans="1:8" x14ac:dyDescent="0.25">
      <c r="A379" s="175">
        <v>229981</v>
      </c>
      <c r="B379" s="152" t="s">
        <v>82</v>
      </c>
      <c r="C379" s="138" t="s">
        <v>410</v>
      </c>
      <c r="D379" s="150" t="s">
        <v>912</v>
      </c>
      <c r="E379" s="153" t="s">
        <v>1820</v>
      </c>
      <c r="F379" s="140" t="s">
        <v>1724</v>
      </c>
      <c r="G379" s="138" t="s">
        <v>926</v>
      </c>
      <c r="H379" s="138">
        <v>2018</v>
      </c>
    </row>
    <row r="380" spans="1:8" x14ac:dyDescent="0.25">
      <c r="A380" s="257">
        <v>230062</v>
      </c>
      <c r="B380" s="41" t="s">
        <v>82</v>
      </c>
      <c r="C380" s="42" t="s">
        <v>410</v>
      </c>
      <c r="D380" s="43" t="s">
        <v>912</v>
      </c>
      <c r="E380" s="47" t="s">
        <v>1820</v>
      </c>
      <c r="F380" s="55" t="s">
        <v>1724</v>
      </c>
      <c r="G380" s="42" t="s">
        <v>926</v>
      </c>
      <c r="H380" s="42">
        <v>2018</v>
      </c>
    </row>
    <row r="381" spans="1:8" x14ac:dyDescent="0.25">
      <c r="A381" s="257" t="s">
        <v>1184</v>
      </c>
      <c r="B381" s="41" t="s">
        <v>82</v>
      </c>
      <c r="C381" s="42" t="s">
        <v>410</v>
      </c>
      <c r="D381" s="43" t="s">
        <v>912</v>
      </c>
      <c r="E381" s="47" t="s">
        <v>1820</v>
      </c>
      <c r="F381" s="55" t="s">
        <v>1724</v>
      </c>
      <c r="G381" s="42" t="s">
        <v>37</v>
      </c>
      <c r="H381" s="42">
        <v>2018</v>
      </c>
    </row>
    <row r="382" spans="1:8" x14ac:dyDescent="0.25">
      <c r="A382" s="258" t="s">
        <v>1186</v>
      </c>
      <c r="B382" s="44" t="s">
        <v>82</v>
      </c>
      <c r="C382" s="45" t="s">
        <v>410</v>
      </c>
      <c r="D382" s="46" t="s">
        <v>912</v>
      </c>
      <c r="E382" s="56" t="s">
        <v>1820</v>
      </c>
      <c r="F382" s="57" t="s">
        <v>1724</v>
      </c>
      <c r="G382" s="45" t="s">
        <v>182</v>
      </c>
      <c r="H382" s="45">
        <v>2020</v>
      </c>
    </row>
    <row r="383" spans="1:8" x14ac:dyDescent="0.25">
      <c r="A383" s="257" t="s">
        <v>1187</v>
      </c>
      <c r="B383" s="41" t="s">
        <v>82</v>
      </c>
      <c r="C383" s="42" t="s">
        <v>410</v>
      </c>
      <c r="D383" s="43" t="s">
        <v>912</v>
      </c>
      <c r="E383" s="59" t="s">
        <v>1820</v>
      </c>
      <c r="F383" s="55" t="s">
        <v>1724</v>
      </c>
      <c r="G383" s="42" t="s">
        <v>182</v>
      </c>
      <c r="H383" s="42">
        <v>2021</v>
      </c>
    </row>
    <row r="384" spans="1:8" x14ac:dyDescent="0.25">
      <c r="A384" s="257" t="s">
        <v>1185</v>
      </c>
      <c r="B384" s="41" t="s">
        <v>82</v>
      </c>
      <c r="C384" s="42" t="s">
        <v>410</v>
      </c>
      <c r="D384" s="43" t="s">
        <v>912</v>
      </c>
      <c r="E384" s="59" t="s">
        <v>1820</v>
      </c>
      <c r="F384" s="55" t="s">
        <v>1724</v>
      </c>
      <c r="G384" s="42" t="s">
        <v>37</v>
      </c>
      <c r="H384" s="42">
        <v>2020</v>
      </c>
    </row>
    <row r="385" spans="1:8" x14ac:dyDescent="0.25">
      <c r="A385" s="175" t="s">
        <v>1893</v>
      </c>
      <c r="B385" s="152" t="s">
        <v>82</v>
      </c>
      <c r="C385" s="138" t="s">
        <v>410</v>
      </c>
      <c r="D385" s="150" t="s">
        <v>912</v>
      </c>
      <c r="E385" s="153" t="s">
        <v>1820</v>
      </c>
      <c r="F385" s="140" t="s">
        <v>1724</v>
      </c>
      <c r="G385" s="138" t="s">
        <v>260</v>
      </c>
      <c r="H385" s="138">
        <v>2024</v>
      </c>
    </row>
    <row r="386" spans="1:8" x14ac:dyDescent="0.25">
      <c r="A386" s="257" t="s">
        <v>1891</v>
      </c>
      <c r="B386" s="163" t="s">
        <v>82</v>
      </c>
      <c r="C386" s="164" t="s">
        <v>410</v>
      </c>
      <c r="D386" s="165" t="s">
        <v>912</v>
      </c>
      <c r="E386" s="47" t="s">
        <v>1820</v>
      </c>
      <c r="F386" s="55" t="s">
        <v>1724</v>
      </c>
      <c r="G386" s="42" t="s">
        <v>260</v>
      </c>
      <c r="H386" s="42">
        <v>2024</v>
      </c>
    </row>
    <row r="387" spans="1:8" x14ac:dyDescent="0.25">
      <c r="A387" s="257" t="s">
        <v>1892</v>
      </c>
      <c r="B387" s="41" t="s">
        <v>82</v>
      </c>
      <c r="C387" s="42" t="s">
        <v>410</v>
      </c>
      <c r="D387" s="43" t="s">
        <v>912</v>
      </c>
      <c r="E387" s="47" t="s">
        <v>1820</v>
      </c>
      <c r="F387" s="55" t="s">
        <v>1724</v>
      </c>
      <c r="G387" s="42" t="s">
        <v>260</v>
      </c>
      <c r="H387" s="42">
        <v>2024</v>
      </c>
    </row>
    <row r="388" spans="1:8" x14ac:dyDescent="0.25">
      <c r="A388" s="257">
        <v>222486</v>
      </c>
      <c r="B388" s="166" t="s">
        <v>2455</v>
      </c>
      <c r="C388" s="42" t="s">
        <v>461</v>
      </c>
      <c r="D388" s="43" t="s">
        <v>912</v>
      </c>
      <c r="E388" s="59" t="s">
        <v>1114</v>
      </c>
      <c r="F388" s="55" t="s">
        <v>1745</v>
      </c>
      <c r="G388" s="42" t="s">
        <v>886</v>
      </c>
      <c r="H388" s="42">
        <v>2012</v>
      </c>
    </row>
    <row r="389" spans="1:8" x14ac:dyDescent="0.25">
      <c r="A389" s="257">
        <v>221622</v>
      </c>
      <c r="B389" s="166" t="s">
        <v>2456</v>
      </c>
      <c r="C389" s="42" t="s">
        <v>426</v>
      </c>
      <c r="D389" s="43" t="s">
        <v>912</v>
      </c>
      <c r="E389" s="59"/>
      <c r="F389" s="55" t="s">
        <v>1825</v>
      </c>
      <c r="G389" s="42" t="s">
        <v>926</v>
      </c>
      <c r="H389" s="42">
        <v>2013</v>
      </c>
    </row>
    <row r="390" spans="1:8" x14ac:dyDescent="0.25">
      <c r="A390" s="257" t="s">
        <v>246</v>
      </c>
      <c r="B390" s="41" t="s">
        <v>245</v>
      </c>
      <c r="C390" s="42" t="s">
        <v>544</v>
      </c>
      <c r="D390" s="43" t="s">
        <v>912</v>
      </c>
      <c r="E390" s="59" t="s">
        <v>1309</v>
      </c>
      <c r="F390" s="55" t="s">
        <v>1783</v>
      </c>
      <c r="G390" s="42" t="s">
        <v>37</v>
      </c>
      <c r="H390" s="42">
        <v>2021</v>
      </c>
    </row>
    <row r="391" spans="1:8" x14ac:dyDescent="0.25">
      <c r="A391" s="175" t="s">
        <v>310</v>
      </c>
      <c r="B391" s="41" t="s">
        <v>935</v>
      </c>
      <c r="C391" s="42" t="s">
        <v>568</v>
      </c>
      <c r="D391" s="43" t="s">
        <v>912</v>
      </c>
      <c r="E391" s="59" t="s">
        <v>1208</v>
      </c>
      <c r="F391" s="55" t="s">
        <v>1783</v>
      </c>
      <c r="G391" s="127" t="s">
        <v>37</v>
      </c>
      <c r="H391" s="42">
        <v>2021</v>
      </c>
    </row>
    <row r="392" spans="1:8" x14ac:dyDescent="0.25">
      <c r="A392" s="264">
        <v>231042</v>
      </c>
      <c r="B392" s="41" t="s">
        <v>83</v>
      </c>
      <c r="C392" s="42" t="s">
        <v>411</v>
      </c>
      <c r="D392" s="43" t="s">
        <v>912</v>
      </c>
      <c r="E392" s="47" t="s">
        <v>1394</v>
      </c>
      <c r="F392" s="55" t="s">
        <v>1742</v>
      </c>
      <c r="G392" s="42" t="s">
        <v>926</v>
      </c>
      <c r="H392" s="42">
        <v>2018</v>
      </c>
    </row>
    <row r="393" spans="1:8" x14ac:dyDescent="0.25">
      <c r="A393" s="257" t="s">
        <v>1340</v>
      </c>
      <c r="B393" s="41" t="s">
        <v>1077</v>
      </c>
      <c r="C393" s="42" t="s">
        <v>1076</v>
      </c>
      <c r="D393" s="43" t="s">
        <v>1078</v>
      </c>
      <c r="E393" s="47" t="s">
        <v>1339</v>
      </c>
      <c r="F393" s="55" t="s">
        <v>1725</v>
      </c>
      <c r="G393" s="42" t="s">
        <v>24</v>
      </c>
      <c r="H393" s="42">
        <v>2022</v>
      </c>
    </row>
    <row r="394" spans="1:8" x14ac:dyDescent="0.25">
      <c r="A394" s="175" t="s">
        <v>1966</v>
      </c>
      <c r="B394" s="41" t="s">
        <v>94</v>
      </c>
      <c r="C394" s="42" t="s">
        <v>424</v>
      </c>
      <c r="D394" s="43" t="s">
        <v>908</v>
      </c>
      <c r="E394" s="47"/>
      <c r="F394" s="55" t="s">
        <v>1724</v>
      </c>
      <c r="G394" s="42" t="s">
        <v>926</v>
      </c>
      <c r="H394" s="138">
        <v>2009</v>
      </c>
    </row>
    <row r="395" spans="1:8" x14ac:dyDescent="0.25">
      <c r="A395" s="175" t="s">
        <v>1463</v>
      </c>
      <c r="B395" s="41" t="s">
        <v>1429</v>
      </c>
      <c r="C395" s="42" t="s">
        <v>1578</v>
      </c>
      <c r="D395" s="43" t="s">
        <v>908</v>
      </c>
      <c r="E395" s="59" t="s">
        <v>1619</v>
      </c>
      <c r="F395" s="55" t="s">
        <v>1739</v>
      </c>
      <c r="G395" s="42" t="s">
        <v>24</v>
      </c>
      <c r="H395" s="138">
        <v>2024</v>
      </c>
    </row>
    <row r="396" spans="1:8" x14ac:dyDescent="0.25">
      <c r="A396" s="266" t="s">
        <v>1464</v>
      </c>
      <c r="B396" s="167" t="s">
        <v>1430</v>
      </c>
      <c r="C396" s="139" t="s">
        <v>1578</v>
      </c>
      <c r="D396" s="168" t="s">
        <v>908</v>
      </c>
      <c r="E396" s="169" t="s">
        <v>1620</v>
      </c>
      <c r="F396" s="55" t="s">
        <v>1739</v>
      </c>
      <c r="G396" s="139" t="s">
        <v>24</v>
      </c>
      <c r="H396" s="139">
        <v>2024</v>
      </c>
    </row>
    <row r="397" spans="1:8" x14ac:dyDescent="0.25">
      <c r="A397" s="257" t="s">
        <v>1465</v>
      </c>
      <c r="B397" s="41" t="s">
        <v>1430</v>
      </c>
      <c r="C397" s="42" t="s">
        <v>1578</v>
      </c>
      <c r="D397" s="43" t="s">
        <v>908</v>
      </c>
      <c r="E397" s="47" t="s">
        <v>1620</v>
      </c>
      <c r="F397" s="55" t="s">
        <v>1739</v>
      </c>
      <c r="G397" s="42" t="s">
        <v>37</v>
      </c>
      <c r="H397" s="42">
        <v>2024</v>
      </c>
    </row>
    <row r="398" spans="1:8" x14ac:dyDescent="0.25">
      <c r="A398" s="257" t="s">
        <v>1872</v>
      </c>
      <c r="B398" s="41" t="s">
        <v>1797</v>
      </c>
      <c r="C398" s="42" t="s">
        <v>1798</v>
      </c>
      <c r="D398" s="43" t="s">
        <v>908</v>
      </c>
      <c r="E398" s="47" t="s">
        <v>1799</v>
      </c>
      <c r="F398" s="55" t="s">
        <v>1764</v>
      </c>
      <c r="G398" s="42" t="s">
        <v>1680</v>
      </c>
      <c r="H398" s="42">
        <v>2025</v>
      </c>
    </row>
    <row r="399" spans="1:8" x14ac:dyDescent="0.25">
      <c r="A399" s="265" t="s">
        <v>1490</v>
      </c>
      <c r="B399" s="41" t="s">
        <v>167</v>
      </c>
      <c r="C399" s="42" t="s">
        <v>497</v>
      </c>
      <c r="D399" s="43" t="s">
        <v>908</v>
      </c>
      <c r="E399" s="155" t="s">
        <v>1341</v>
      </c>
      <c r="F399" s="55" t="s">
        <v>1725</v>
      </c>
      <c r="G399" s="42" t="s">
        <v>24</v>
      </c>
      <c r="H399" s="42">
        <v>2019</v>
      </c>
    </row>
    <row r="400" spans="1:8" x14ac:dyDescent="0.25">
      <c r="A400" s="265">
        <v>231538</v>
      </c>
      <c r="B400" s="41" t="s">
        <v>181</v>
      </c>
      <c r="C400" s="42" t="s">
        <v>516</v>
      </c>
      <c r="D400" s="43" t="s">
        <v>908</v>
      </c>
      <c r="E400" s="59" t="s">
        <v>1190</v>
      </c>
      <c r="F400" s="55" t="s">
        <v>1724</v>
      </c>
      <c r="G400" s="42" t="s">
        <v>926</v>
      </c>
      <c r="H400" s="42">
        <v>2019</v>
      </c>
    </row>
    <row r="401" spans="1:8" x14ac:dyDescent="0.25">
      <c r="A401" s="257">
        <v>231057</v>
      </c>
      <c r="B401" s="41" t="s">
        <v>76</v>
      </c>
      <c r="C401" s="42" t="s">
        <v>401</v>
      </c>
      <c r="D401" s="43" t="s">
        <v>908</v>
      </c>
      <c r="E401" s="155" t="s">
        <v>1181</v>
      </c>
      <c r="F401" s="55" t="s">
        <v>1725</v>
      </c>
      <c r="G401" s="42" t="s">
        <v>926</v>
      </c>
      <c r="H401" s="42">
        <v>2018</v>
      </c>
    </row>
    <row r="402" spans="1:8" x14ac:dyDescent="0.25">
      <c r="A402" s="257" t="s">
        <v>1162</v>
      </c>
      <c r="B402" s="41" t="s">
        <v>1029</v>
      </c>
      <c r="C402" s="42" t="s">
        <v>1030</v>
      </c>
      <c r="D402" s="43" t="s">
        <v>908</v>
      </c>
      <c r="E402" s="155" t="s">
        <v>1161</v>
      </c>
      <c r="F402" s="55" t="s">
        <v>1725</v>
      </c>
      <c r="G402" s="42" t="s">
        <v>24</v>
      </c>
      <c r="H402" s="42">
        <v>2022</v>
      </c>
    </row>
    <row r="403" spans="1:8" x14ac:dyDescent="0.25">
      <c r="A403" s="175" t="s">
        <v>248</v>
      </c>
      <c r="B403" s="41" t="s">
        <v>247</v>
      </c>
      <c r="C403" s="42" t="s">
        <v>516</v>
      </c>
      <c r="D403" s="43" t="s">
        <v>908</v>
      </c>
      <c r="E403" s="50" t="s">
        <v>1158</v>
      </c>
      <c r="F403" s="55" t="s">
        <v>1725</v>
      </c>
      <c r="G403" s="127" t="s">
        <v>37</v>
      </c>
      <c r="H403" s="42">
        <v>2021</v>
      </c>
    </row>
    <row r="404" spans="1:8" x14ac:dyDescent="0.25">
      <c r="A404" s="175" t="s">
        <v>249</v>
      </c>
      <c r="B404" s="41" t="s">
        <v>247</v>
      </c>
      <c r="C404" s="42" t="s">
        <v>516</v>
      </c>
      <c r="D404" s="43" t="s">
        <v>908</v>
      </c>
      <c r="E404" s="155" t="s">
        <v>1158</v>
      </c>
      <c r="F404" s="55" t="s">
        <v>1725</v>
      </c>
      <c r="G404" s="42" t="s">
        <v>37</v>
      </c>
      <c r="H404" s="42">
        <v>2021</v>
      </c>
    </row>
    <row r="405" spans="1:8" x14ac:dyDescent="0.25">
      <c r="A405" s="257" t="s">
        <v>186</v>
      </c>
      <c r="B405" s="41" t="s">
        <v>185</v>
      </c>
      <c r="C405" s="42" t="s">
        <v>523</v>
      </c>
      <c r="D405" s="43" t="s">
        <v>908</v>
      </c>
      <c r="E405" s="154" t="s">
        <v>1147</v>
      </c>
      <c r="F405" s="55" t="s">
        <v>1724</v>
      </c>
      <c r="G405" s="42" t="s">
        <v>24</v>
      </c>
      <c r="H405" s="42">
        <v>2020</v>
      </c>
    </row>
    <row r="406" spans="1:8" x14ac:dyDescent="0.25">
      <c r="A406" s="258" t="s">
        <v>187</v>
      </c>
      <c r="B406" s="44" t="s">
        <v>185</v>
      </c>
      <c r="C406" s="45" t="s">
        <v>523</v>
      </c>
      <c r="D406" s="46" t="s">
        <v>908</v>
      </c>
      <c r="E406" s="58" t="s">
        <v>1147</v>
      </c>
      <c r="F406" s="57" t="s">
        <v>1724</v>
      </c>
      <c r="G406" s="45" t="s">
        <v>24</v>
      </c>
      <c r="H406" s="45">
        <v>2020</v>
      </c>
    </row>
    <row r="407" spans="1:8" x14ac:dyDescent="0.25">
      <c r="A407" s="257">
        <v>228440</v>
      </c>
      <c r="B407" s="41" t="s">
        <v>118</v>
      </c>
      <c r="C407" s="42" t="s">
        <v>454</v>
      </c>
      <c r="D407" s="43" t="s">
        <v>908</v>
      </c>
      <c r="E407" s="59" t="s">
        <v>1125</v>
      </c>
      <c r="F407" s="55" t="s">
        <v>1828</v>
      </c>
      <c r="G407" s="42" t="s">
        <v>1113</v>
      </c>
      <c r="H407" s="42">
        <v>2016</v>
      </c>
    </row>
    <row r="408" spans="1:8" x14ac:dyDescent="0.25">
      <c r="A408" s="257">
        <v>229755</v>
      </c>
      <c r="B408" s="41" t="s">
        <v>103</v>
      </c>
      <c r="C408" s="42" t="s">
        <v>436</v>
      </c>
      <c r="D408" s="43" t="s">
        <v>908</v>
      </c>
      <c r="E408" s="59" t="s">
        <v>1261</v>
      </c>
      <c r="F408" s="55" t="s">
        <v>1732</v>
      </c>
      <c r="G408" s="42" t="s">
        <v>926</v>
      </c>
      <c r="H408" s="42">
        <v>2017</v>
      </c>
    </row>
    <row r="409" spans="1:8" x14ac:dyDescent="0.25">
      <c r="A409" s="257" t="s">
        <v>1488</v>
      </c>
      <c r="B409" s="41" t="s">
        <v>1089</v>
      </c>
      <c r="C409" s="42" t="s">
        <v>501</v>
      </c>
      <c r="D409" s="43" t="s">
        <v>908</v>
      </c>
      <c r="E409" s="47" t="s">
        <v>1359</v>
      </c>
      <c r="F409" s="55" t="s">
        <v>1725</v>
      </c>
      <c r="G409" s="42" t="s">
        <v>24</v>
      </c>
      <c r="H409" s="42">
        <v>2019</v>
      </c>
    </row>
    <row r="410" spans="1:8" x14ac:dyDescent="0.25">
      <c r="A410" s="257">
        <v>215518</v>
      </c>
      <c r="B410" s="41" t="s">
        <v>89</v>
      </c>
      <c r="C410" s="42" t="s">
        <v>417</v>
      </c>
      <c r="D410" s="43" t="s">
        <v>908</v>
      </c>
      <c r="E410" s="59" t="s">
        <v>1347</v>
      </c>
      <c r="F410" s="55" t="s">
        <v>1732</v>
      </c>
      <c r="G410" s="42" t="s">
        <v>926</v>
      </c>
      <c r="H410" s="42">
        <v>2009</v>
      </c>
    </row>
    <row r="411" spans="1:8" x14ac:dyDescent="0.25">
      <c r="A411" s="257">
        <v>228674</v>
      </c>
      <c r="B411" s="41" t="s">
        <v>89</v>
      </c>
      <c r="C411" s="42" t="s">
        <v>417</v>
      </c>
      <c r="D411" s="43" t="s">
        <v>908</v>
      </c>
      <c r="E411" s="47" t="s">
        <v>1347</v>
      </c>
      <c r="F411" s="55" t="s">
        <v>1732</v>
      </c>
      <c r="G411" s="42" t="s">
        <v>926</v>
      </c>
      <c r="H411" s="42">
        <v>2017</v>
      </c>
    </row>
    <row r="412" spans="1:8" x14ac:dyDescent="0.25">
      <c r="A412" s="257">
        <v>231419</v>
      </c>
      <c r="B412" s="41" t="s">
        <v>89</v>
      </c>
      <c r="C412" s="42" t="s">
        <v>417</v>
      </c>
      <c r="D412" s="43" t="s">
        <v>908</v>
      </c>
      <c r="E412" s="47" t="s">
        <v>1347</v>
      </c>
      <c r="F412" s="55" t="s">
        <v>1732</v>
      </c>
      <c r="G412" s="42" t="s">
        <v>926</v>
      </c>
      <c r="H412" s="42">
        <v>2019</v>
      </c>
    </row>
    <row r="413" spans="1:8" x14ac:dyDescent="0.25">
      <c r="A413" s="257" t="s">
        <v>1207</v>
      </c>
      <c r="B413" s="41" t="s">
        <v>936</v>
      </c>
      <c r="C413" s="42" t="s">
        <v>568</v>
      </c>
      <c r="D413" s="43" t="s">
        <v>908</v>
      </c>
      <c r="E413" s="126" t="s">
        <v>1206</v>
      </c>
      <c r="F413" s="55" t="s">
        <v>1783</v>
      </c>
      <c r="G413" s="42" t="s">
        <v>182</v>
      </c>
      <c r="H413" s="42">
        <v>2021</v>
      </c>
    </row>
    <row r="414" spans="1:8" x14ac:dyDescent="0.25">
      <c r="A414" s="175" t="s">
        <v>1150</v>
      </c>
      <c r="B414" s="152" t="s">
        <v>2457</v>
      </c>
      <c r="C414" s="138" t="s">
        <v>2531</v>
      </c>
      <c r="D414" s="150" t="s">
        <v>908</v>
      </c>
      <c r="E414" s="126" t="s">
        <v>1149</v>
      </c>
      <c r="F414" s="55" t="s">
        <v>1724</v>
      </c>
      <c r="G414" s="42" t="s">
        <v>260</v>
      </c>
      <c r="H414" s="138">
        <v>2022</v>
      </c>
    </row>
    <row r="415" spans="1:8" x14ac:dyDescent="0.25">
      <c r="A415" s="257" t="s">
        <v>265</v>
      </c>
      <c r="B415" s="41" t="s">
        <v>2457</v>
      </c>
      <c r="C415" s="42" t="s">
        <v>2531</v>
      </c>
      <c r="D415" s="43" t="s">
        <v>908</v>
      </c>
      <c r="E415" s="47" t="s">
        <v>1149</v>
      </c>
      <c r="F415" s="55" t="s">
        <v>1724</v>
      </c>
      <c r="G415" s="42" t="s">
        <v>260</v>
      </c>
      <c r="H415" s="42">
        <v>2021</v>
      </c>
    </row>
    <row r="416" spans="1:8" x14ac:dyDescent="0.25">
      <c r="A416" s="257" t="s">
        <v>264</v>
      </c>
      <c r="B416" s="41" t="s">
        <v>2457</v>
      </c>
      <c r="C416" s="42" t="s">
        <v>2531</v>
      </c>
      <c r="D416" s="43" t="s">
        <v>908</v>
      </c>
      <c r="E416" s="47" t="s">
        <v>1149</v>
      </c>
      <c r="F416" s="55" t="s">
        <v>1724</v>
      </c>
      <c r="G416" s="42" t="s">
        <v>260</v>
      </c>
      <c r="H416" s="42">
        <v>2021</v>
      </c>
    </row>
    <row r="417" spans="1:8" x14ac:dyDescent="0.25">
      <c r="A417" s="257" t="s">
        <v>1497</v>
      </c>
      <c r="B417" s="41" t="s">
        <v>1443</v>
      </c>
      <c r="C417" s="42" t="s">
        <v>1593</v>
      </c>
      <c r="D417" s="43" t="s">
        <v>908</v>
      </c>
      <c r="E417" s="47" t="s">
        <v>1649</v>
      </c>
      <c r="F417" s="55" t="s">
        <v>1731</v>
      </c>
      <c r="G417" s="42" t="s">
        <v>260</v>
      </c>
      <c r="H417" s="42">
        <v>2023</v>
      </c>
    </row>
    <row r="418" spans="1:8" x14ac:dyDescent="0.25">
      <c r="A418" s="257" t="s">
        <v>1966</v>
      </c>
      <c r="B418" s="41" t="s">
        <v>48</v>
      </c>
      <c r="C418" s="42" t="s">
        <v>372</v>
      </c>
      <c r="D418" s="43" t="s">
        <v>1099</v>
      </c>
      <c r="E418" s="47"/>
      <c r="F418" s="55" t="s">
        <v>1780</v>
      </c>
      <c r="G418" s="42" t="s">
        <v>1398</v>
      </c>
      <c r="H418" s="42">
        <v>2011</v>
      </c>
    </row>
    <row r="419" spans="1:8" x14ac:dyDescent="0.25">
      <c r="A419" s="257" t="s">
        <v>1966</v>
      </c>
      <c r="B419" s="41" t="s">
        <v>48</v>
      </c>
      <c r="C419" s="42" t="s">
        <v>372</v>
      </c>
      <c r="D419" s="43" t="s">
        <v>1099</v>
      </c>
      <c r="E419" s="47"/>
      <c r="F419" s="55" t="s">
        <v>1780</v>
      </c>
      <c r="G419" s="42" t="s">
        <v>1398</v>
      </c>
      <c r="H419" s="42">
        <v>2011</v>
      </c>
    </row>
    <row r="420" spans="1:8" x14ac:dyDescent="0.25">
      <c r="A420" s="257" t="s">
        <v>1287</v>
      </c>
      <c r="B420" s="41" t="s">
        <v>1061</v>
      </c>
      <c r="C420" s="42" t="s">
        <v>374</v>
      </c>
      <c r="D420" s="43" t="s">
        <v>1062</v>
      </c>
      <c r="E420" s="59" t="s">
        <v>1286</v>
      </c>
      <c r="F420" s="55" t="s">
        <v>1725</v>
      </c>
      <c r="G420" s="42" t="s">
        <v>260</v>
      </c>
      <c r="H420" s="42">
        <v>2022</v>
      </c>
    </row>
    <row r="421" spans="1:8" x14ac:dyDescent="0.25">
      <c r="A421" s="257">
        <v>230036</v>
      </c>
      <c r="B421" s="41" t="s">
        <v>50</v>
      </c>
      <c r="C421" s="42" t="s">
        <v>334</v>
      </c>
      <c r="D421" s="43" t="s">
        <v>914</v>
      </c>
      <c r="E421" s="59" t="s">
        <v>1353</v>
      </c>
      <c r="F421" s="55" t="s">
        <v>1742</v>
      </c>
      <c r="G421" s="42" t="s">
        <v>926</v>
      </c>
      <c r="H421" s="42">
        <v>2017</v>
      </c>
    </row>
    <row r="422" spans="1:8" x14ac:dyDescent="0.25">
      <c r="A422" s="257">
        <v>220303</v>
      </c>
      <c r="B422" s="41" t="s">
        <v>100</v>
      </c>
      <c r="C422" s="42" t="s">
        <v>434</v>
      </c>
      <c r="D422" s="43" t="s">
        <v>914</v>
      </c>
      <c r="E422" s="59" t="s">
        <v>1302</v>
      </c>
      <c r="F422" s="55" t="s">
        <v>2031</v>
      </c>
      <c r="G422" s="42" t="s">
        <v>926</v>
      </c>
      <c r="H422" s="42">
        <v>2017</v>
      </c>
    </row>
    <row r="423" spans="1:8" x14ac:dyDescent="0.25">
      <c r="A423" s="257">
        <v>229884</v>
      </c>
      <c r="B423" s="41" t="s">
        <v>104</v>
      </c>
      <c r="C423" s="42" t="s">
        <v>437</v>
      </c>
      <c r="D423" s="43" t="s">
        <v>914</v>
      </c>
      <c r="E423" s="59" t="s">
        <v>1297</v>
      </c>
      <c r="F423" s="55" t="s">
        <v>1724</v>
      </c>
      <c r="G423" s="42" t="s">
        <v>1298</v>
      </c>
      <c r="H423" s="42">
        <v>2017</v>
      </c>
    </row>
    <row r="424" spans="1:8" x14ac:dyDescent="0.25">
      <c r="A424" s="175" t="s">
        <v>105</v>
      </c>
      <c r="B424" s="152" t="s">
        <v>104</v>
      </c>
      <c r="C424" s="138" t="s">
        <v>437</v>
      </c>
      <c r="D424" s="150" t="s">
        <v>914</v>
      </c>
      <c r="E424" s="153" t="s">
        <v>1297</v>
      </c>
      <c r="F424" s="140" t="s">
        <v>1724</v>
      </c>
      <c r="G424" s="138" t="s">
        <v>25</v>
      </c>
      <c r="H424" s="138">
        <v>2018</v>
      </c>
    </row>
    <row r="425" spans="1:8" x14ac:dyDescent="0.25">
      <c r="A425" s="175" t="s">
        <v>1966</v>
      </c>
      <c r="B425" s="152" t="s">
        <v>104</v>
      </c>
      <c r="C425" s="138" t="s">
        <v>437</v>
      </c>
      <c r="D425" s="150" t="s">
        <v>914</v>
      </c>
      <c r="E425" s="153" t="s">
        <v>1297</v>
      </c>
      <c r="F425" s="55" t="s">
        <v>1724</v>
      </c>
      <c r="G425" s="138" t="s">
        <v>926</v>
      </c>
      <c r="H425" s="138">
        <v>2009</v>
      </c>
    </row>
    <row r="426" spans="1:8" x14ac:dyDescent="0.25">
      <c r="A426" s="175">
        <v>231049</v>
      </c>
      <c r="B426" s="41" t="s">
        <v>101</v>
      </c>
      <c r="C426" s="138" t="s">
        <v>435</v>
      </c>
      <c r="D426" s="43" t="s">
        <v>914</v>
      </c>
      <c r="E426" s="59" t="s">
        <v>1209</v>
      </c>
      <c r="F426" s="55" t="s">
        <v>1724</v>
      </c>
      <c r="G426" s="127" t="s">
        <v>926</v>
      </c>
      <c r="H426" s="42">
        <v>2018</v>
      </c>
    </row>
    <row r="427" spans="1:8" x14ac:dyDescent="0.25">
      <c r="A427" s="175">
        <v>231051</v>
      </c>
      <c r="B427" s="152" t="s">
        <v>101</v>
      </c>
      <c r="C427" s="138" t="s">
        <v>435</v>
      </c>
      <c r="D427" s="150" t="s">
        <v>914</v>
      </c>
      <c r="E427" s="153" t="s">
        <v>1209</v>
      </c>
      <c r="F427" s="55" t="s">
        <v>1724</v>
      </c>
      <c r="G427" s="138" t="s">
        <v>926</v>
      </c>
      <c r="H427" s="138">
        <v>2018</v>
      </c>
    </row>
    <row r="428" spans="1:8" x14ac:dyDescent="0.25">
      <c r="A428" s="257">
        <v>231060</v>
      </c>
      <c r="B428" s="41" t="s">
        <v>101</v>
      </c>
      <c r="C428" s="42" t="s">
        <v>435</v>
      </c>
      <c r="D428" s="43" t="s">
        <v>914</v>
      </c>
      <c r="E428" s="59" t="s">
        <v>1209</v>
      </c>
      <c r="F428" s="55" t="s">
        <v>1724</v>
      </c>
      <c r="G428" s="42" t="s">
        <v>926</v>
      </c>
      <c r="H428" s="42">
        <v>2018</v>
      </c>
    </row>
    <row r="429" spans="1:8" x14ac:dyDescent="0.25">
      <c r="A429" s="257" t="s">
        <v>1554</v>
      </c>
      <c r="B429" s="41" t="s">
        <v>101</v>
      </c>
      <c r="C429" s="42" t="s">
        <v>435</v>
      </c>
      <c r="D429" s="43" t="s">
        <v>914</v>
      </c>
      <c r="E429" s="59" t="s">
        <v>1209</v>
      </c>
      <c r="F429" s="55" t="s">
        <v>1724</v>
      </c>
      <c r="G429" s="42" t="s">
        <v>37</v>
      </c>
      <c r="H429" s="42">
        <v>2019</v>
      </c>
    </row>
    <row r="430" spans="1:8" x14ac:dyDescent="0.25">
      <c r="A430" s="257" t="s">
        <v>1555</v>
      </c>
      <c r="B430" s="41" t="s">
        <v>101</v>
      </c>
      <c r="C430" s="42" t="s">
        <v>435</v>
      </c>
      <c r="D430" s="43" t="s">
        <v>914</v>
      </c>
      <c r="E430" s="59" t="s">
        <v>1209</v>
      </c>
      <c r="F430" s="55" t="s">
        <v>1724</v>
      </c>
      <c r="G430" s="42" t="s">
        <v>37</v>
      </c>
      <c r="H430" s="42">
        <v>2019</v>
      </c>
    </row>
    <row r="431" spans="1:8" x14ac:dyDescent="0.25">
      <c r="A431" s="257" t="s">
        <v>1556</v>
      </c>
      <c r="B431" s="41" t="s">
        <v>101</v>
      </c>
      <c r="C431" s="42" t="s">
        <v>435</v>
      </c>
      <c r="D431" s="43" t="s">
        <v>914</v>
      </c>
      <c r="E431" s="47" t="s">
        <v>1209</v>
      </c>
      <c r="F431" s="55" t="s">
        <v>1724</v>
      </c>
      <c r="G431" s="42" t="s">
        <v>102</v>
      </c>
      <c r="H431" s="42">
        <v>2019</v>
      </c>
    </row>
    <row r="432" spans="1:8" x14ac:dyDescent="0.25">
      <c r="A432" s="257" t="s">
        <v>1557</v>
      </c>
      <c r="B432" s="41" t="s">
        <v>101</v>
      </c>
      <c r="C432" s="42" t="s">
        <v>435</v>
      </c>
      <c r="D432" s="43" t="s">
        <v>914</v>
      </c>
      <c r="E432" s="47" t="s">
        <v>1209</v>
      </c>
      <c r="F432" s="55" t="s">
        <v>1724</v>
      </c>
      <c r="G432" s="42" t="s">
        <v>37</v>
      </c>
      <c r="H432" s="42">
        <v>2019</v>
      </c>
    </row>
    <row r="433" spans="1:8" x14ac:dyDescent="0.25">
      <c r="A433" s="257" t="s">
        <v>1558</v>
      </c>
      <c r="B433" s="41" t="s">
        <v>101</v>
      </c>
      <c r="C433" s="42" t="s">
        <v>435</v>
      </c>
      <c r="D433" s="43" t="s">
        <v>914</v>
      </c>
      <c r="E433" s="47" t="s">
        <v>1209</v>
      </c>
      <c r="F433" s="55" t="s">
        <v>1724</v>
      </c>
      <c r="G433" s="42" t="s">
        <v>102</v>
      </c>
      <c r="H433" s="42">
        <v>2019</v>
      </c>
    </row>
    <row r="434" spans="1:8" x14ac:dyDescent="0.25">
      <c r="A434" s="257" t="s">
        <v>1559</v>
      </c>
      <c r="B434" s="41" t="s">
        <v>101</v>
      </c>
      <c r="C434" s="42" t="s">
        <v>435</v>
      </c>
      <c r="D434" s="43" t="s">
        <v>914</v>
      </c>
      <c r="E434" s="47" t="s">
        <v>1209</v>
      </c>
      <c r="F434" s="55" t="s">
        <v>1724</v>
      </c>
      <c r="G434" s="42" t="s">
        <v>37</v>
      </c>
      <c r="H434" s="42">
        <v>2019</v>
      </c>
    </row>
    <row r="435" spans="1:8" x14ac:dyDescent="0.25">
      <c r="A435" s="257" t="s">
        <v>1222</v>
      </c>
      <c r="B435" s="41" t="s">
        <v>101</v>
      </c>
      <c r="C435" s="42" t="s">
        <v>435</v>
      </c>
      <c r="D435" s="43" t="s">
        <v>914</v>
      </c>
      <c r="E435" s="47" t="s">
        <v>1201</v>
      </c>
      <c r="F435" s="55" t="s">
        <v>1724</v>
      </c>
      <c r="G435" s="42" t="s">
        <v>260</v>
      </c>
      <c r="H435" s="42">
        <v>2022</v>
      </c>
    </row>
    <row r="436" spans="1:8" x14ac:dyDescent="0.25">
      <c r="A436" s="257" t="s">
        <v>1211</v>
      </c>
      <c r="B436" s="41" t="s">
        <v>101</v>
      </c>
      <c r="C436" s="42" t="s">
        <v>435</v>
      </c>
      <c r="D436" s="43" t="s">
        <v>914</v>
      </c>
      <c r="E436" s="47" t="s">
        <v>1209</v>
      </c>
      <c r="F436" s="55" t="s">
        <v>1724</v>
      </c>
      <c r="G436" s="42" t="s">
        <v>37</v>
      </c>
      <c r="H436" s="42">
        <v>2018</v>
      </c>
    </row>
    <row r="437" spans="1:8" x14ac:dyDescent="0.25">
      <c r="A437" s="257" t="s">
        <v>1212</v>
      </c>
      <c r="B437" s="41" t="s">
        <v>101</v>
      </c>
      <c r="C437" s="42" t="s">
        <v>435</v>
      </c>
      <c r="D437" s="43" t="s">
        <v>914</v>
      </c>
      <c r="E437" s="47" t="s">
        <v>1209</v>
      </c>
      <c r="F437" s="55" t="s">
        <v>1724</v>
      </c>
      <c r="G437" s="42" t="s">
        <v>37</v>
      </c>
      <c r="H437" s="42">
        <v>2018</v>
      </c>
    </row>
    <row r="438" spans="1:8" x14ac:dyDescent="0.25">
      <c r="A438" s="257" t="s">
        <v>1213</v>
      </c>
      <c r="B438" s="41" t="s">
        <v>101</v>
      </c>
      <c r="C438" s="42" t="s">
        <v>435</v>
      </c>
      <c r="D438" s="43" t="s">
        <v>914</v>
      </c>
      <c r="E438" s="47" t="s">
        <v>1209</v>
      </c>
      <c r="F438" s="55" t="s">
        <v>1724</v>
      </c>
      <c r="G438" s="42" t="s">
        <v>37</v>
      </c>
      <c r="H438" s="42">
        <v>2018</v>
      </c>
    </row>
    <row r="439" spans="1:8" x14ac:dyDescent="0.25">
      <c r="A439" s="257" t="s">
        <v>1214</v>
      </c>
      <c r="B439" s="41" t="s">
        <v>101</v>
      </c>
      <c r="C439" s="42" t="s">
        <v>435</v>
      </c>
      <c r="D439" s="43" t="s">
        <v>914</v>
      </c>
      <c r="E439" s="59" t="s">
        <v>1209</v>
      </c>
      <c r="F439" s="55" t="s">
        <v>1724</v>
      </c>
      <c r="G439" s="42" t="s">
        <v>37</v>
      </c>
      <c r="H439" s="42">
        <v>2018</v>
      </c>
    </row>
    <row r="440" spans="1:8" x14ac:dyDescent="0.25">
      <c r="A440" s="257" t="s">
        <v>1215</v>
      </c>
      <c r="B440" s="41" t="s">
        <v>101</v>
      </c>
      <c r="C440" s="42" t="s">
        <v>435</v>
      </c>
      <c r="D440" s="43" t="s">
        <v>914</v>
      </c>
      <c r="E440" s="47" t="s">
        <v>1209</v>
      </c>
      <c r="F440" s="55" t="s">
        <v>1724</v>
      </c>
      <c r="G440" s="42" t="s">
        <v>37</v>
      </c>
      <c r="H440" s="42">
        <v>2018</v>
      </c>
    </row>
    <row r="441" spans="1:8" x14ac:dyDescent="0.25">
      <c r="A441" s="257" t="s">
        <v>1216</v>
      </c>
      <c r="B441" s="41" t="s">
        <v>101</v>
      </c>
      <c r="C441" s="42" t="s">
        <v>435</v>
      </c>
      <c r="D441" s="43" t="s">
        <v>914</v>
      </c>
      <c r="E441" s="59" t="s">
        <v>1209</v>
      </c>
      <c r="F441" s="55" t="s">
        <v>1724</v>
      </c>
      <c r="G441" s="42" t="s">
        <v>37</v>
      </c>
      <c r="H441" s="42">
        <v>2018</v>
      </c>
    </row>
    <row r="442" spans="1:8" x14ac:dyDescent="0.25">
      <c r="A442" s="257" t="s">
        <v>1217</v>
      </c>
      <c r="B442" s="41" t="s">
        <v>101</v>
      </c>
      <c r="C442" s="42" t="s">
        <v>435</v>
      </c>
      <c r="D442" s="43" t="s">
        <v>914</v>
      </c>
      <c r="E442" s="59" t="s">
        <v>1209</v>
      </c>
      <c r="F442" s="55" t="s">
        <v>1724</v>
      </c>
      <c r="G442" s="42" t="s">
        <v>37</v>
      </c>
      <c r="H442" s="42">
        <v>2018</v>
      </c>
    </row>
    <row r="443" spans="1:8" x14ac:dyDescent="0.25">
      <c r="A443" s="260" t="s">
        <v>1218</v>
      </c>
      <c r="B443" s="41" t="s">
        <v>101</v>
      </c>
      <c r="C443" s="42" t="s">
        <v>435</v>
      </c>
      <c r="D443" s="43" t="s">
        <v>914</v>
      </c>
      <c r="E443" s="155" t="s">
        <v>1209</v>
      </c>
      <c r="F443" s="55" t="s">
        <v>1724</v>
      </c>
      <c r="G443" s="42" t="s">
        <v>37</v>
      </c>
      <c r="H443" s="49">
        <v>2018</v>
      </c>
    </row>
    <row r="444" spans="1:8" x14ac:dyDescent="0.25">
      <c r="A444" s="261" t="s">
        <v>1219</v>
      </c>
      <c r="B444" s="47" t="s">
        <v>101</v>
      </c>
      <c r="C444" s="50" t="s">
        <v>435</v>
      </c>
      <c r="D444" s="47" t="s">
        <v>914</v>
      </c>
      <c r="E444" s="59" t="s">
        <v>1209</v>
      </c>
      <c r="F444" s="55" t="s">
        <v>1724</v>
      </c>
      <c r="G444" s="142" t="s">
        <v>37</v>
      </c>
      <c r="H444" s="50">
        <v>2018</v>
      </c>
    </row>
    <row r="445" spans="1:8" x14ac:dyDescent="0.25">
      <c r="A445" s="267" t="s">
        <v>1966</v>
      </c>
      <c r="B445" s="47" t="s">
        <v>101</v>
      </c>
      <c r="C445" s="42" t="s">
        <v>435</v>
      </c>
      <c r="D445" s="43" t="s">
        <v>914</v>
      </c>
      <c r="E445" s="155" t="s">
        <v>1209</v>
      </c>
      <c r="F445" s="55" t="s">
        <v>1724</v>
      </c>
      <c r="G445" s="42" t="s">
        <v>1221</v>
      </c>
      <c r="H445" s="137">
        <v>2020</v>
      </c>
    </row>
    <row r="446" spans="1:8" x14ac:dyDescent="0.25">
      <c r="A446" s="175">
        <v>223164</v>
      </c>
      <c r="B446" s="41" t="s">
        <v>54</v>
      </c>
      <c r="C446" s="42" t="s">
        <v>379</v>
      </c>
      <c r="D446" s="43" t="s">
        <v>914</v>
      </c>
      <c r="E446" s="155"/>
      <c r="F446" s="55" t="s">
        <v>1828</v>
      </c>
      <c r="G446" s="42" t="s">
        <v>886</v>
      </c>
      <c r="H446" s="42">
        <v>2013</v>
      </c>
    </row>
    <row r="447" spans="1:8" x14ac:dyDescent="0.25">
      <c r="A447" s="257">
        <v>223263</v>
      </c>
      <c r="B447" s="41" t="s">
        <v>54</v>
      </c>
      <c r="C447" s="42" t="s">
        <v>379</v>
      </c>
      <c r="D447" s="43" t="s">
        <v>914</v>
      </c>
      <c r="E447" s="59"/>
      <c r="F447" s="55" t="s">
        <v>1828</v>
      </c>
      <c r="G447" s="42" t="s">
        <v>886</v>
      </c>
      <c r="H447" s="42">
        <v>2013</v>
      </c>
    </row>
    <row r="448" spans="1:8" x14ac:dyDescent="0.25">
      <c r="A448" s="257" t="s">
        <v>2394</v>
      </c>
      <c r="B448" s="41" t="s">
        <v>2458</v>
      </c>
      <c r="C448" s="42" t="s">
        <v>500</v>
      </c>
      <c r="D448" s="43" t="s">
        <v>914</v>
      </c>
      <c r="E448" s="47" t="s">
        <v>2548</v>
      </c>
      <c r="F448" s="55" t="s">
        <v>1739</v>
      </c>
      <c r="G448" s="42" t="s">
        <v>2617</v>
      </c>
      <c r="H448" s="42">
        <v>2025</v>
      </c>
    </row>
    <row r="449" spans="1:8" x14ac:dyDescent="0.25">
      <c r="A449" s="257" t="s">
        <v>2395</v>
      </c>
      <c r="B449" s="41" t="s">
        <v>2459</v>
      </c>
      <c r="C449" s="42" t="s">
        <v>437</v>
      </c>
      <c r="D449" s="43" t="s">
        <v>914</v>
      </c>
      <c r="E449" s="47" t="s">
        <v>2549</v>
      </c>
      <c r="F449" s="55" t="s">
        <v>1724</v>
      </c>
      <c r="G449" s="42" t="s">
        <v>24</v>
      </c>
      <c r="H449" s="42">
        <v>2025</v>
      </c>
    </row>
    <row r="450" spans="1:8" x14ac:dyDescent="0.25">
      <c r="A450" s="257" t="s">
        <v>2396</v>
      </c>
      <c r="B450" s="41" t="s">
        <v>2459</v>
      </c>
      <c r="C450" s="42" t="s">
        <v>437</v>
      </c>
      <c r="D450" s="43" t="s">
        <v>914</v>
      </c>
      <c r="E450" s="59" t="s">
        <v>2549</v>
      </c>
      <c r="F450" s="55" t="s">
        <v>1724</v>
      </c>
      <c r="G450" s="42" t="s">
        <v>1680</v>
      </c>
      <c r="H450" s="42">
        <v>2025</v>
      </c>
    </row>
    <row r="451" spans="1:8" x14ac:dyDescent="0.25">
      <c r="A451" s="257" t="s">
        <v>1491</v>
      </c>
      <c r="B451" s="41" t="s">
        <v>1442</v>
      </c>
      <c r="C451" s="42" t="s">
        <v>1592</v>
      </c>
      <c r="D451" s="43" t="s">
        <v>2603</v>
      </c>
      <c r="E451" s="47" t="s">
        <v>1643</v>
      </c>
      <c r="F451" s="55" t="s">
        <v>1731</v>
      </c>
      <c r="G451" s="42" t="s">
        <v>260</v>
      </c>
      <c r="H451" s="42">
        <v>2023</v>
      </c>
    </row>
    <row r="452" spans="1:8" x14ac:dyDescent="0.25">
      <c r="A452" s="257" t="s">
        <v>1366</v>
      </c>
      <c r="B452" s="41" t="s">
        <v>1091</v>
      </c>
      <c r="C452" s="42" t="s">
        <v>1092</v>
      </c>
      <c r="D452" s="43" t="s">
        <v>2603</v>
      </c>
      <c r="E452" s="47" t="s">
        <v>1365</v>
      </c>
      <c r="F452" s="55" t="s">
        <v>1725</v>
      </c>
      <c r="G452" s="42" t="s">
        <v>24</v>
      </c>
      <c r="H452" s="42">
        <v>2021</v>
      </c>
    </row>
    <row r="453" spans="1:8" x14ac:dyDescent="0.25">
      <c r="A453" s="257">
        <v>231546</v>
      </c>
      <c r="B453" s="41" t="s">
        <v>106</v>
      </c>
      <c r="C453" s="42" t="s">
        <v>438</v>
      </c>
      <c r="D453" s="43" t="s">
        <v>2603</v>
      </c>
      <c r="E453" s="47" t="s">
        <v>1227</v>
      </c>
      <c r="F453" s="55" t="s">
        <v>1724</v>
      </c>
      <c r="G453" s="42" t="s">
        <v>927</v>
      </c>
      <c r="H453" s="42">
        <v>2019</v>
      </c>
    </row>
    <row r="454" spans="1:8" x14ac:dyDescent="0.25">
      <c r="A454" s="257" t="s">
        <v>250</v>
      </c>
      <c r="B454" s="41" t="s">
        <v>106</v>
      </c>
      <c r="C454" s="42" t="s">
        <v>438</v>
      </c>
      <c r="D454" s="43" t="s">
        <v>2603</v>
      </c>
      <c r="E454" s="47" t="s">
        <v>1227</v>
      </c>
      <c r="F454" s="55" t="s">
        <v>1724</v>
      </c>
      <c r="G454" s="42" t="s">
        <v>37</v>
      </c>
      <c r="H454" s="42">
        <v>2021</v>
      </c>
    </row>
    <row r="455" spans="1:8" x14ac:dyDescent="0.25">
      <c r="A455" s="257" t="s">
        <v>316</v>
      </c>
      <c r="B455" s="41" t="s">
        <v>315</v>
      </c>
      <c r="C455" s="42" t="s">
        <v>571</v>
      </c>
      <c r="D455" s="43" t="s">
        <v>902</v>
      </c>
      <c r="E455" s="47" t="s">
        <v>1374</v>
      </c>
      <c r="F455" s="55" t="s">
        <v>1725</v>
      </c>
      <c r="G455" s="42" t="s">
        <v>24</v>
      </c>
      <c r="H455" s="42">
        <v>2021</v>
      </c>
    </row>
    <row r="456" spans="1:8" x14ac:dyDescent="0.25">
      <c r="A456" s="257" t="s">
        <v>1489</v>
      </c>
      <c r="B456" s="41" t="s">
        <v>1441</v>
      </c>
      <c r="C456" s="42" t="s">
        <v>1591</v>
      </c>
      <c r="D456" s="43" t="s">
        <v>902</v>
      </c>
      <c r="E456" s="47" t="s">
        <v>1642</v>
      </c>
      <c r="F456" s="55" t="s">
        <v>1731</v>
      </c>
      <c r="G456" s="42" t="s">
        <v>260</v>
      </c>
      <c r="H456" s="42">
        <v>2023</v>
      </c>
    </row>
    <row r="457" spans="1:8" x14ac:dyDescent="0.25">
      <c r="A457" s="257" t="s">
        <v>2397</v>
      </c>
      <c r="B457" s="41" t="s">
        <v>2405</v>
      </c>
      <c r="C457" s="42" t="s">
        <v>1065</v>
      </c>
      <c r="D457" s="43" t="s">
        <v>902</v>
      </c>
      <c r="E457" s="59" t="s">
        <v>2550</v>
      </c>
      <c r="F457" s="55" t="s">
        <v>1725</v>
      </c>
      <c r="G457" s="42" t="s">
        <v>260</v>
      </c>
      <c r="H457" s="42">
        <v>2025</v>
      </c>
    </row>
    <row r="458" spans="1:8" x14ac:dyDescent="0.25">
      <c r="A458" s="257" t="s">
        <v>152</v>
      </c>
      <c r="B458" s="41" t="s">
        <v>151</v>
      </c>
      <c r="C458" s="42" t="s">
        <v>486</v>
      </c>
      <c r="D458" s="43" t="s">
        <v>902</v>
      </c>
      <c r="E458" s="59" t="s">
        <v>1148</v>
      </c>
      <c r="F458" s="55" t="s">
        <v>1724</v>
      </c>
      <c r="G458" s="42" t="s">
        <v>25</v>
      </c>
      <c r="H458" s="42">
        <v>2018</v>
      </c>
    </row>
    <row r="459" spans="1:8" x14ac:dyDescent="0.25">
      <c r="A459" s="257" t="s">
        <v>1519</v>
      </c>
      <c r="B459" s="41" t="s">
        <v>151</v>
      </c>
      <c r="C459" s="42" t="s">
        <v>486</v>
      </c>
      <c r="D459" s="43" t="s">
        <v>902</v>
      </c>
      <c r="E459" s="59" t="s">
        <v>1148</v>
      </c>
      <c r="F459" s="55" t="s">
        <v>1724</v>
      </c>
      <c r="G459" s="42" t="s">
        <v>37</v>
      </c>
      <c r="H459" s="42">
        <v>2018</v>
      </c>
    </row>
    <row r="460" spans="1:8" x14ac:dyDescent="0.25">
      <c r="A460" s="257" t="s">
        <v>1518</v>
      </c>
      <c r="B460" s="41" t="s">
        <v>151</v>
      </c>
      <c r="C460" s="42" t="s">
        <v>486</v>
      </c>
      <c r="D460" s="43" t="s">
        <v>902</v>
      </c>
      <c r="E460" s="47" t="s">
        <v>1148</v>
      </c>
      <c r="F460" s="55" t="s">
        <v>1724</v>
      </c>
      <c r="G460" s="42" t="s">
        <v>37</v>
      </c>
      <c r="H460" s="42">
        <v>2019</v>
      </c>
    </row>
    <row r="461" spans="1:8" x14ac:dyDescent="0.25">
      <c r="A461" s="257" t="s">
        <v>1205</v>
      </c>
      <c r="B461" s="41" t="s">
        <v>112</v>
      </c>
      <c r="C461" s="42" t="s">
        <v>447</v>
      </c>
      <c r="D461" s="43" t="s">
        <v>902</v>
      </c>
      <c r="E461" s="47" t="s">
        <v>1204</v>
      </c>
      <c r="F461" s="55" t="s">
        <v>1790</v>
      </c>
      <c r="G461" s="42" t="s">
        <v>260</v>
      </c>
      <c r="H461" s="42">
        <v>2023</v>
      </c>
    </row>
    <row r="462" spans="1:8" x14ac:dyDescent="0.25">
      <c r="A462" s="257" t="s">
        <v>2398</v>
      </c>
      <c r="B462" s="41" t="s">
        <v>2460</v>
      </c>
      <c r="C462" s="42" t="s">
        <v>2532</v>
      </c>
      <c r="D462" s="43" t="s">
        <v>902</v>
      </c>
      <c r="E462" s="59" t="s">
        <v>2551</v>
      </c>
      <c r="F462" s="55" t="s">
        <v>1731</v>
      </c>
      <c r="G462" s="42" t="s">
        <v>1973</v>
      </c>
      <c r="H462" s="42">
        <v>2025</v>
      </c>
    </row>
    <row r="463" spans="1:8" x14ac:dyDescent="0.25">
      <c r="A463" s="257" t="s">
        <v>312</v>
      </c>
      <c r="B463" s="41" t="s">
        <v>311</v>
      </c>
      <c r="C463" s="42" t="s">
        <v>569</v>
      </c>
      <c r="D463" s="43" t="s">
        <v>1057</v>
      </c>
      <c r="E463" s="59" t="s">
        <v>2552</v>
      </c>
      <c r="F463" s="55" t="s">
        <v>1725</v>
      </c>
      <c r="G463" s="42" t="s">
        <v>24</v>
      </c>
      <c r="H463" s="42">
        <v>2022</v>
      </c>
    </row>
    <row r="464" spans="1:8" x14ac:dyDescent="0.25">
      <c r="A464" s="257" t="s">
        <v>1262</v>
      </c>
      <c r="B464" s="41" t="s">
        <v>311</v>
      </c>
      <c r="C464" s="42" t="s">
        <v>569</v>
      </c>
      <c r="D464" s="43" t="s">
        <v>2604</v>
      </c>
      <c r="E464" s="155" t="s">
        <v>2553</v>
      </c>
      <c r="F464" s="55" t="s">
        <v>1725</v>
      </c>
      <c r="G464" s="42" t="s">
        <v>24</v>
      </c>
      <c r="H464" s="42">
        <v>2023</v>
      </c>
    </row>
    <row r="465" spans="1:8" x14ac:dyDescent="0.25">
      <c r="A465" s="257" t="s">
        <v>1326</v>
      </c>
      <c r="B465" s="41" t="s">
        <v>1072</v>
      </c>
      <c r="C465" s="42" t="s">
        <v>513</v>
      </c>
      <c r="D465" s="43" t="s">
        <v>1771</v>
      </c>
      <c r="E465" s="50" t="s">
        <v>1325</v>
      </c>
      <c r="F465" s="55" t="s">
        <v>1725</v>
      </c>
      <c r="G465" s="42" t="s">
        <v>182</v>
      </c>
      <c r="H465" s="42">
        <v>2020</v>
      </c>
    </row>
    <row r="466" spans="1:8" x14ac:dyDescent="0.25">
      <c r="A466" s="257">
        <v>231414</v>
      </c>
      <c r="B466" s="41" t="s">
        <v>124</v>
      </c>
      <c r="C466" s="42" t="s">
        <v>462</v>
      </c>
      <c r="D466" s="43" t="s">
        <v>1771</v>
      </c>
      <c r="E466" s="47" t="s">
        <v>1376</v>
      </c>
      <c r="F466" s="55" t="s">
        <v>1725</v>
      </c>
      <c r="G466" s="42" t="s">
        <v>926</v>
      </c>
      <c r="H466" s="42">
        <v>2018</v>
      </c>
    </row>
    <row r="467" spans="1:8" x14ac:dyDescent="0.25">
      <c r="A467" s="257" t="s">
        <v>1857</v>
      </c>
      <c r="B467" s="41" t="s">
        <v>1770</v>
      </c>
      <c r="C467" s="42" t="s">
        <v>513</v>
      </c>
      <c r="D467" s="43" t="s">
        <v>1771</v>
      </c>
      <c r="E467" s="47"/>
      <c r="F467" s="55" t="s">
        <v>1725</v>
      </c>
      <c r="G467" s="42" t="s">
        <v>24</v>
      </c>
      <c r="H467" s="42">
        <v>2024</v>
      </c>
    </row>
    <row r="468" spans="1:8" x14ac:dyDescent="0.25">
      <c r="A468" s="257" t="s">
        <v>1525</v>
      </c>
      <c r="B468" s="41" t="s">
        <v>137</v>
      </c>
      <c r="C468" s="42" t="s">
        <v>472</v>
      </c>
      <c r="D468" s="43" t="s">
        <v>907</v>
      </c>
      <c r="E468" s="47" t="s">
        <v>1275</v>
      </c>
      <c r="F468" s="55" t="s">
        <v>1725</v>
      </c>
      <c r="G468" s="42" t="s">
        <v>24</v>
      </c>
      <c r="H468" s="42">
        <v>2019</v>
      </c>
    </row>
    <row r="469" spans="1:8" x14ac:dyDescent="0.25">
      <c r="A469" s="257" t="s">
        <v>1526</v>
      </c>
      <c r="B469" s="41" t="s">
        <v>137</v>
      </c>
      <c r="C469" s="42" t="s">
        <v>472</v>
      </c>
      <c r="D469" s="43" t="s">
        <v>907</v>
      </c>
      <c r="E469" s="59" t="s">
        <v>1275</v>
      </c>
      <c r="F469" s="55" t="s">
        <v>1725</v>
      </c>
      <c r="G469" s="42" t="s">
        <v>24</v>
      </c>
      <c r="H469" s="42">
        <v>2022</v>
      </c>
    </row>
    <row r="470" spans="1:8" x14ac:dyDescent="0.25">
      <c r="A470" s="257" t="s">
        <v>127</v>
      </c>
      <c r="B470" s="41" t="s">
        <v>126</v>
      </c>
      <c r="C470" s="42" t="s">
        <v>464</v>
      </c>
      <c r="D470" s="43" t="s">
        <v>907</v>
      </c>
      <c r="E470" s="47" t="s">
        <v>1291</v>
      </c>
      <c r="F470" s="55" t="s">
        <v>1725</v>
      </c>
      <c r="G470" s="42" t="s">
        <v>37</v>
      </c>
      <c r="H470" s="42">
        <v>2018</v>
      </c>
    </row>
    <row r="471" spans="1:8" x14ac:dyDescent="0.25">
      <c r="A471" s="257" t="s">
        <v>128</v>
      </c>
      <c r="B471" s="41" t="s">
        <v>126</v>
      </c>
      <c r="C471" s="42" t="s">
        <v>464</v>
      </c>
      <c r="D471" s="43" t="s">
        <v>907</v>
      </c>
      <c r="E471" s="59" t="s">
        <v>1291</v>
      </c>
      <c r="F471" s="55" t="s">
        <v>1745</v>
      </c>
      <c r="G471" s="42" t="s">
        <v>37</v>
      </c>
      <c r="H471" s="42">
        <v>2018</v>
      </c>
    </row>
    <row r="472" spans="1:8" x14ac:dyDescent="0.25">
      <c r="A472" s="257" t="s">
        <v>242</v>
      </c>
      <c r="B472" s="41" t="s">
        <v>125</v>
      </c>
      <c r="C472" s="42" t="s">
        <v>463</v>
      </c>
      <c r="D472" s="43" t="s">
        <v>907</v>
      </c>
      <c r="E472" s="59" t="s">
        <v>1273</v>
      </c>
      <c r="F472" s="55" t="s">
        <v>1725</v>
      </c>
      <c r="G472" s="42" t="s">
        <v>1274</v>
      </c>
      <c r="H472" s="42">
        <v>2018</v>
      </c>
    </row>
    <row r="473" spans="1:8" x14ac:dyDescent="0.25">
      <c r="A473" s="257" t="s">
        <v>1861</v>
      </c>
      <c r="B473" s="41" t="s">
        <v>1774</v>
      </c>
      <c r="C473" s="42" t="s">
        <v>477</v>
      </c>
      <c r="D473" s="43" t="s">
        <v>907</v>
      </c>
      <c r="E473" s="47" t="s">
        <v>2554</v>
      </c>
      <c r="F473" s="55" t="s">
        <v>1724</v>
      </c>
      <c r="G473" s="42" t="s">
        <v>25</v>
      </c>
      <c r="H473" s="42">
        <v>2024</v>
      </c>
    </row>
    <row r="474" spans="1:8" x14ac:dyDescent="0.25">
      <c r="A474" s="175" t="s">
        <v>1859</v>
      </c>
      <c r="B474" s="41" t="s">
        <v>1774</v>
      </c>
      <c r="C474" s="42" t="s">
        <v>477</v>
      </c>
      <c r="D474" s="43" t="s">
        <v>907</v>
      </c>
      <c r="E474" s="155" t="s">
        <v>2554</v>
      </c>
      <c r="F474" s="55" t="s">
        <v>1724</v>
      </c>
      <c r="G474" s="42" t="s">
        <v>260</v>
      </c>
      <c r="H474" s="42">
        <v>2024</v>
      </c>
    </row>
    <row r="475" spans="1:8" x14ac:dyDescent="0.25">
      <c r="A475" s="175" t="s">
        <v>1860</v>
      </c>
      <c r="B475" s="41" t="s">
        <v>1774</v>
      </c>
      <c r="C475" s="42" t="s">
        <v>477</v>
      </c>
      <c r="D475" s="43" t="s">
        <v>907</v>
      </c>
      <c r="E475" s="155" t="s">
        <v>2554</v>
      </c>
      <c r="F475" s="55" t="s">
        <v>1724</v>
      </c>
      <c r="G475" s="42" t="s">
        <v>25</v>
      </c>
      <c r="H475" s="42">
        <v>2024</v>
      </c>
    </row>
    <row r="476" spans="1:8" x14ac:dyDescent="0.25">
      <c r="A476" s="261" t="s">
        <v>1862</v>
      </c>
      <c r="B476" s="41" t="s">
        <v>1774</v>
      </c>
      <c r="C476" s="42" t="s">
        <v>477</v>
      </c>
      <c r="D476" s="43" t="s">
        <v>907</v>
      </c>
      <c r="E476" s="158" t="s">
        <v>2554</v>
      </c>
      <c r="F476" s="55" t="s">
        <v>1724</v>
      </c>
      <c r="G476" s="42" t="s">
        <v>25</v>
      </c>
      <c r="H476" s="42">
        <v>2024</v>
      </c>
    </row>
    <row r="477" spans="1:8" x14ac:dyDescent="0.25">
      <c r="A477" s="257" t="s">
        <v>208</v>
      </c>
      <c r="B477" s="41" t="s">
        <v>207</v>
      </c>
      <c r="C477" s="42" t="s">
        <v>532</v>
      </c>
      <c r="D477" s="43" t="s">
        <v>907</v>
      </c>
      <c r="E477" s="47" t="s">
        <v>1405</v>
      </c>
      <c r="F477" s="55" t="s">
        <v>1725</v>
      </c>
      <c r="G477" s="42" t="s">
        <v>24</v>
      </c>
      <c r="H477" s="42">
        <v>2020</v>
      </c>
    </row>
    <row r="478" spans="1:8" x14ac:dyDescent="0.25">
      <c r="A478" s="257" t="s">
        <v>1546</v>
      </c>
      <c r="B478" s="41" t="s">
        <v>1448</v>
      </c>
      <c r="C478" s="42" t="s">
        <v>1600</v>
      </c>
      <c r="D478" s="43" t="s">
        <v>907</v>
      </c>
      <c r="E478" s="47" t="s">
        <v>1667</v>
      </c>
      <c r="F478" s="55" t="s">
        <v>1725</v>
      </c>
      <c r="G478" s="42" t="s">
        <v>24</v>
      </c>
      <c r="H478" s="42">
        <v>2019</v>
      </c>
    </row>
    <row r="479" spans="1:8" x14ac:dyDescent="0.25">
      <c r="A479" s="175" t="s">
        <v>1548</v>
      </c>
      <c r="B479" s="41" t="s">
        <v>138</v>
      </c>
      <c r="C479" s="42" t="s">
        <v>473</v>
      </c>
      <c r="D479" s="43" t="s">
        <v>907</v>
      </c>
      <c r="E479" s="59" t="s">
        <v>1226</v>
      </c>
      <c r="F479" s="55" t="s">
        <v>1724</v>
      </c>
      <c r="G479" s="127" t="s">
        <v>24</v>
      </c>
      <c r="H479" s="42">
        <v>2019</v>
      </c>
    </row>
    <row r="480" spans="1:8" x14ac:dyDescent="0.25">
      <c r="A480" s="257" t="s">
        <v>1549</v>
      </c>
      <c r="B480" s="41" t="s">
        <v>138</v>
      </c>
      <c r="C480" s="42" t="s">
        <v>473</v>
      </c>
      <c r="D480" s="43" t="s">
        <v>907</v>
      </c>
      <c r="E480" s="59" t="s">
        <v>1226</v>
      </c>
      <c r="F480" s="55" t="s">
        <v>1724</v>
      </c>
      <c r="G480" s="42" t="s">
        <v>24</v>
      </c>
      <c r="H480" s="42">
        <v>2019</v>
      </c>
    </row>
    <row r="481" spans="1:8" x14ac:dyDescent="0.25">
      <c r="A481" s="257" t="s">
        <v>1550</v>
      </c>
      <c r="B481" s="41" t="s">
        <v>138</v>
      </c>
      <c r="C481" s="42" t="s">
        <v>473</v>
      </c>
      <c r="D481" s="43" t="s">
        <v>907</v>
      </c>
      <c r="E481" s="59" t="s">
        <v>1226</v>
      </c>
      <c r="F481" s="55" t="s">
        <v>1724</v>
      </c>
      <c r="G481" s="42" t="s">
        <v>24</v>
      </c>
      <c r="H481" s="42">
        <v>2019</v>
      </c>
    </row>
    <row r="482" spans="1:8" x14ac:dyDescent="0.25">
      <c r="A482" s="257" t="s">
        <v>1551</v>
      </c>
      <c r="B482" s="41" t="s">
        <v>138</v>
      </c>
      <c r="C482" s="42" t="s">
        <v>473</v>
      </c>
      <c r="D482" s="43" t="s">
        <v>907</v>
      </c>
      <c r="E482" s="59" t="s">
        <v>1226</v>
      </c>
      <c r="F482" s="55" t="s">
        <v>1724</v>
      </c>
      <c r="G482" s="42" t="s">
        <v>24</v>
      </c>
      <c r="H482" s="42">
        <v>2019</v>
      </c>
    </row>
    <row r="483" spans="1:8" x14ac:dyDescent="0.25">
      <c r="A483" s="257" t="s">
        <v>1564</v>
      </c>
      <c r="B483" s="41" t="s">
        <v>1032</v>
      </c>
      <c r="C483" s="42" t="s">
        <v>511</v>
      </c>
      <c r="D483" s="43" t="s">
        <v>907</v>
      </c>
      <c r="E483" s="59" t="s">
        <v>1673</v>
      </c>
      <c r="F483" s="55" t="s">
        <v>1725</v>
      </c>
      <c r="G483" s="42" t="s">
        <v>24</v>
      </c>
      <c r="H483" s="42">
        <v>2019</v>
      </c>
    </row>
    <row r="484" spans="1:8" x14ac:dyDescent="0.25">
      <c r="A484" s="257" t="s">
        <v>1568</v>
      </c>
      <c r="B484" s="41" t="s">
        <v>1027</v>
      </c>
      <c r="C484" s="42" t="s">
        <v>512</v>
      </c>
      <c r="D484" s="43" t="s">
        <v>907</v>
      </c>
      <c r="E484" s="47" t="s">
        <v>1676</v>
      </c>
      <c r="F484" s="55" t="s">
        <v>1725</v>
      </c>
      <c r="G484" s="42" t="s">
        <v>24</v>
      </c>
      <c r="H484" s="42">
        <v>2019</v>
      </c>
    </row>
    <row r="485" spans="1:8" x14ac:dyDescent="0.25">
      <c r="A485" s="260" t="s">
        <v>1844</v>
      </c>
      <c r="B485" s="48" t="s">
        <v>177</v>
      </c>
      <c r="C485" s="49" t="s">
        <v>514</v>
      </c>
      <c r="D485" s="170" t="s">
        <v>896</v>
      </c>
      <c r="E485" s="171" t="s">
        <v>2555</v>
      </c>
      <c r="F485" s="141" t="s">
        <v>1725</v>
      </c>
      <c r="G485" s="49" t="s">
        <v>24</v>
      </c>
      <c r="H485" s="49">
        <v>2024</v>
      </c>
    </row>
    <row r="486" spans="1:8" x14ac:dyDescent="0.25">
      <c r="A486" s="261" t="s">
        <v>251</v>
      </c>
      <c r="B486" s="41" t="s">
        <v>1104</v>
      </c>
      <c r="C486" s="50" t="s">
        <v>545</v>
      </c>
      <c r="D486" s="47" t="s">
        <v>896</v>
      </c>
      <c r="E486" s="47" t="s">
        <v>1407</v>
      </c>
      <c r="F486" s="50" t="s">
        <v>1725</v>
      </c>
      <c r="G486" s="50" t="s">
        <v>24</v>
      </c>
      <c r="H486" s="50">
        <v>2021</v>
      </c>
    </row>
    <row r="487" spans="1:8" x14ac:dyDescent="0.25">
      <c r="A487" s="261" t="s">
        <v>1845</v>
      </c>
      <c r="B487" s="172" t="s">
        <v>1104</v>
      </c>
      <c r="C487" s="137" t="s">
        <v>545</v>
      </c>
      <c r="D487" s="173" t="s">
        <v>896</v>
      </c>
      <c r="E487" s="174" t="s">
        <v>1407</v>
      </c>
      <c r="F487" s="50" t="s">
        <v>1725</v>
      </c>
      <c r="G487" s="50" t="s">
        <v>24</v>
      </c>
      <c r="H487" s="50">
        <v>2024</v>
      </c>
    </row>
    <row r="488" spans="1:8" x14ac:dyDescent="0.25">
      <c r="A488" s="256" t="s">
        <v>1467</v>
      </c>
      <c r="B488" s="41" t="s">
        <v>2461</v>
      </c>
      <c r="C488" s="42" t="s">
        <v>1580</v>
      </c>
      <c r="D488" s="43" t="s">
        <v>896</v>
      </c>
      <c r="E488" s="59" t="s">
        <v>1624</v>
      </c>
      <c r="F488" s="149" t="s">
        <v>1731</v>
      </c>
      <c r="G488" s="137" t="s">
        <v>24</v>
      </c>
      <c r="H488" s="137">
        <v>2023</v>
      </c>
    </row>
    <row r="489" spans="1:8" x14ac:dyDescent="0.25">
      <c r="A489" s="257" t="s">
        <v>1420</v>
      </c>
      <c r="B489" s="41" t="s">
        <v>2462</v>
      </c>
      <c r="C489" s="42" t="s">
        <v>517</v>
      </c>
      <c r="D489" s="43" t="s">
        <v>896</v>
      </c>
      <c r="E489" s="59" t="s">
        <v>1313</v>
      </c>
      <c r="F489" s="55" t="s">
        <v>1725</v>
      </c>
      <c r="G489" s="42" t="s">
        <v>37</v>
      </c>
      <c r="H489" s="42">
        <v>2019</v>
      </c>
    </row>
    <row r="490" spans="1:8" x14ac:dyDescent="0.25">
      <c r="A490" s="257" t="s">
        <v>1472</v>
      </c>
      <c r="B490" s="41" t="s">
        <v>2462</v>
      </c>
      <c r="C490" s="42" t="s">
        <v>517</v>
      </c>
      <c r="D490" s="43" t="s">
        <v>896</v>
      </c>
      <c r="E490" s="59" t="s">
        <v>1313</v>
      </c>
      <c r="F490" s="55" t="s">
        <v>1725</v>
      </c>
      <c r="G490" s="42" t="s">
        <v>102</v>
      </c>
      <c r="H490" s="42">
        <v>2019</v>
      </c>
    </row>
    <row r="491" spans="1:8" x14ac:dyDescent="0.25">
      <c r="A491" s="257" t="s">
        <v>1473</v>
      </c>
      <c r="B491" s="41" t="s">
        <v>144</v>
      </c>
      <c r="C491" s="42" t="s">
        <v>479</v>
      </c>
      <c r="D491" s="43" t="s">
        <v>896</v>
      </c>
      <c r="E491" s="154" t="s">
        <v>1393</v>
      </c>
      <c r="F491" s="55" t="s">
        <v>1725</v>
      </c>
      <c r="G491" s="42" t="s">
        <v>24</v>
      </c>
      <c r="H491" s="42">
        <v>2019</v>
      </c>
    </row>
    <row r="492" spans="1:8" x14ac:dyDescent="0.25">
      <c r="A492" s="175" t="s">
        <v>269</v>
      </c>
      <c r="B492" s="41" t="s">
        <v>268</v>
      </c>
      <c r="C492" s="138" t="s">
        <v>553</v>
      </c>
      <c r="D492" s="150" t="s">
        <v>1609</v>
      </c>
      <c r="E492" s="153" t="s">
        <v>2556</v>
      </c>
      <c r="F492" s="140" t="s">
        <v>1725</v>
      </c>
      <c r="G492" s="138" t="s">
        <v>24</v>
      </c>
      <c r="H492" s="138">
        <v>2021</v>
      </c>
    </row>
    <row r="493" spans="1:8" x14ac:dyDescent="0.25">
      <c r="A493" s="257" t="s">
        <v>1478</v>
      </c>
      <c r="B493" s="41" t="s">
        <v>174</v>
      </c>
      <c r="C493" s="42" t="s">
        <v>505</v>
      </c>
      <c r="D493" s="43" t="s">
        <v>896</v>
      </c>
      <c r="E493" s="47" t="s">
        <v>1391</v>
      </c>
      <c r="F493" s="55" t="s">
        <v>1725</v>
      </c>
      <c r="G493" s="42" t="s">
        <v>24</v>
      </c>
      <c r="H493" s="42">
        <v>2019</v>
      </c>
    </row>
    <row r="494" spans="1:8" x14ac:dyDescent="0.25">
      <c r="A494" s="257" t="s">
        <v>1358</v>
      </c>
      <c r="B494" s="41" t="s">
        <v>1087</v>
      </c>
      <c r="C494" s="42" t="s">
        <v>1088</v>
      </c>
      <c r="D494" s="43" t="s">
        <v>896</v>
      </c>
      <c r="E494" s="47" t="s">
        <v>1357</v>
      </c>
      <c r="F494" s="55" t="s">
        <v>1725</v>
      </c>
      <c r="G494" s="42" t="s">
        <v>24</v>
      </c>
      <c r="H494" s="42">
        <v>2022</v>
      </c>
    </row>
    <row r="495" spans="1:8" x14ac:dyDescent="0.25">
      <c r="A495" s="257" t="s">
        <v>1338</v>
      </c>
      <c r="B495" s="41" t="s">
        <v>1075</v>
      </c>
      <c r="C495" s="42" t="s">
        <v>1076</v>
      </c>
      <c r="D495" s="43" t="s">
        <v>896</v>
      </c>
      <c r="E495" s="47" t="s">
        <v>1337</v>
      </c>
      <c r="F495" s="55" t="s">
        <v>1725</v>
      </c>
      <c r="G495" s="42" t="s">
        <v>24</v>
      </c>
      <c r="H495" s="42">
        <v>2022</v>
      </c>
    </row>
    <row r="496" spans="1:8" x14ac:dyDescent="0.25">
      <c r="A496" s="257" t="s">
        <v>1333</v>
      </c>
      <c r="B496" s="41" t="s">
        <v>1073</v>
      </c>
      <c r="C496" s="42" t="s">
        <v>1074</v>
      </c>
      <c r="D496" s="43" t="s">
        <v>896</v>
      </c>
      <c r="E496" s="47" t="s">
        <v>1648</v>
      </c>
      <c r="F496" s="55" t="s">
        <v>1725</v>
      </c>
      <c r="G496" s="42" t="s">
        <v>24</v>
      </c>
      <c r="H496" s="42">
        <v>2022</v>
      </c>
    </row>
    <row r="497" spans="1:8" x14ac:dyDescent="0.25">
      <c r="A497" s="257" t="s">
        <v>2399</v>
      </c>
      <c r="B497" s="41" t="s">
        <v>1073</v>
      </c>
      <c r="C497" s="42" t="s">
        <v>1074</v>
      </c>
      <c r="D497" s="43" t="s">
        <v>896</v>
      </c>
      <c r="E497" s="59" t="s">
        <v>1648</v>
      </c>
      <c r="F497" s="55" t="s">
        <v>1725</v>
      </c>
      <c r="G497" s="42" t="s">
        <v>24</v>
      </c>
      <c r="H497" s="42">
        <v>2025</v>
      </c>
    </row>
    <row r="498" spans="1:8" x14ac:dyDescent="0.25">
      <c r="A498" s="257" t="s">
        <v>1501</v>
      </c>
      <c r="B498" s="41" t="s">
        <v>145</v>
      </c>
      <c r="C498" s="42" t="s">
        <v>480</v>
      </c>
      <c r="D498" s="43" t="s">
        <v>896</v>
      </c>
      <c r="E498" s="59" t="s">
        <v>1330</v>
      </c>
      <c r="F498" s="55" t="s">
        <v>1725</v>
      </c>
      <c r="G498" s="42" t="s">
        <v>24</v>
      </c>
      <c r="H498" s="42">
        <v>2019</v>
      </c>
    </row>
    <row r="499" spans="1:8" x14ac:dyDescent="0.25">
      <c r="A499" s="257" t="s">
        <v>1502</v>
      </c>
      <c r="B499" s="41" t="s">
        <v>145</v>
      </c>
      <c r="C499" s="42" t="s">
        <v>480</v>
      </c>
      <c r="D499" s="43" t="s">
        <v>896</v>
      </c>
      <c r="E499" s="47" t="s">
        <v>1330</v>
      </c>
      <c r="F499" s="55" t="s">
        <v>1725</v>
      </c>
      <c r="G499" s="42" t="s">
        <v>37</v>
      </c>
      <c r="H499" s="42">
        <v>2019</v>
      </c>
    </row>
    <row r="500" spans="1:8" x14ac:dyDescent="0.25">
      <c r="A500" s="257" t="s">
        <v>196</v>
      </c>
      <c r="B500" s="41" t="s">
        <v>194</v>
      </c>
      <c r="C500" s="42" t="s">
        <v>527</v>
      </c>
      <c r="D500" s="43" t="s">
        <v>896</v>
      </c>
      <c r="E500" s="47" t="s">
        <v>1280</v>
      </c>
      <c r="F500" s="55" t="s">
        <v>1725</v>
      </c>
      <c r="G500" s="42" t="s">
        <v>24</v>
      </c>
      <c r="H500" s="42">
        <v>2020</v>
      </c>
    </row>
    <row r="501" spans="1:8" x14ac:dyDescent="0.25">
      <c r="A501" s="257" t="s">
        <v>281</v>
      </c>
      <c r="B501" s="41" t="s">
        <v>1796</v>
      </c>
      <c r="C501" s="42" t="s">
        <v>558</v>
      </c>
      <c r="D501" s="43" t="s">
        <v>896</v>
      </c>
      <c r="E501" s="47" t="s">
        <v>1267</v>
      </c>
      <c r="F501" s="55" t="s">
        <v>1725</v>
      </c>
      <c r="G501" s="42" t="s">
        <v>24</v>
      </c>
      <c r="H501" s="42">
        <v>2021</v>
      </c>
    </row>
    <row r="502" spans="1:8" x14ac:dyDescent="0.25">
      <c r="A502" s="257" t="s">
        <v>2016</v>
      </c>
      <c r="B502" s="41" t="s">
        <v>2463</v>
      </c>
      <c r="C502" s="42" t="s">
        <v>2533</v>
      </c>
      <c r="D502" s="43" t="s">
        <v>896</v>
      </c>
      <c r="E502" s="59" t="s">
        <v>1259</v>
      </c>
      <c r="F502" s="55" t="s">
        <v>1725</v>
      </c>
      <c r="G502" s="42" t="s">
        <v>24</v>
      </c>
      <c r="H502" s="42">
        <v>2022</v>
      </c>
    </row>
    <row r="503" spans="1:8" x14ac:dyDescent="0.25">
      <c r="A503" s="257" t="s">
        <v>211</v>
      </c>
      <c r="B503" s="41" t="s">
        <v>1051</v>
      </c>
      <c r="C503" s="42" t="s">
        <v>534</v>
      </c>
      <c r="D503" s="43" t="s">
        <v>896</v>
      </c>
      <c r="E503" s="47" t="s">
        <v>1245</v>
      </c>
      <c r="F503" s="55" t="s">
        <v>1725</v>
      </c>
      <c r="G503" s="42" t="s">
        <v>24</v>
      </c>
      <c r="H503" s="42">
        <v>2020</v>
      </c>
    </row>
    <row r="504" spans="1:8" x14ac:dyDescent="0.25">
      <c r="A504" s="257" t="s">
        <v>272</v>
      </c>
      <c r="B504" s="41" t="s">
        <v>1051</v>
      </c>
      <c r="C504" s="42" t="s">
        <v>534</v>
      </c>
      <c r="D504" s="43" t="s">
        <v>896</v>
      </c>
      <c r="E504" s="59" t="s">
        <v>1245</v>
      </c>
      <c r="F504" s="55" t="s">
        <v>1725</v>
      </c>
      <c r="G504" s="42" t="s">
        <v>260</v>
      </c>
      <c r="H504" s="42">
        <v>2021</v>
      </c>
    </row>
    <row r="505" spans="1:8" x14ac:dyDescent="0.25">
      <c r="A505" s="257" t="s">
        <v>295</v>
      </c>
      <c r="B505" s="41" t="s">
        <v>2464</v>
      </c>
      <c r="C505" s="42" t="s">
        <v>550</v>
      </c>
      <c r="D505" s="43" t="s">
        <v>896</v>
      </c>
      <c r="E505" s="47" t="s">
        <v>1229</v>
      </c>
      <c r="F505" s="55" t="s">
        <v>1724</v>
      </c>
      <c r="G505" s="42" t="s">
        <v>260</v>
      </c>
      <c r="H505" s="42">
        <v>2021</v>
      </c>
    </row>
    <row r="506" spans="1:8" x14ac:dyDescent="0.25">
      <c r="A506" s="257" t="s">
        <v>305</v>
      </c>
      <c r="B506" s="41" t="s">
        <v>2465</v>
      </c>
      <c r="C506" s="42" t="s">
        <v>565</v>
      </c>
      <c r="D506" s="43" t="s">
        <v>896</v>
      </c>
      <c r="E506" s="47" t="s">
        <v>1189</v>
      </c>
      <c r="F506" s="55" t="s">
        <v>1725</v>
      </c>
      <c r="G506" s="42" t="s">
        <v>24</v>
      </c>
      <c r="H506" s="42">
        <v>2021</v>
      </c>
    </row>
    <row r="507" spans="1:8" x14ac:dyDescent="0.25">
      <c r="A507" s="257" t="s">
        <v>1877</v>
      </c>
      <c r="B507" s="41" t="s">
        <v>1804</v>
      </c>
      <c r="C507" s="42" t="s">
        <v>1805</v>
      </c>
      <c r="D507" s="43" t="s">
        <v>2605</v>
      </c>
      <c r="E507" s="47" t="s">
        <v>1806</v>
      </c>
      <c r="F507" s="55" t="s">
        <v>1725</v>
      </c>
      <c r="G507" s="42" t="s">
        <v>24</v>
      </c>
      <c r="H507" s="42">
        <v>2024</v>
      </c>
    </row>
    <row r="508" spans="1:8" x14ac:dyDescent="0.25">
      <c r="A508" s="260" t="s">
        <v>1510</v>
      </c>
      <c r="B508" s="41" t="s">
        <v>1446</v>
      </c>
      <c r="C508" s="42" t="s">
        <v>1596</v>
      </c>
      <c r="D508" s="43" t="s">
        <v>2605</v>
      </c>
      <c r="E508" s="47" t="s">
        <v>1654</v>
      </c>
      <c r="F508" s="55" t="s">
        <v>1739</v>
      </c>
      <c r="G508" s="42" t="s">
        <v>24</v>
      </c>
      <c r="H508" s="42">
        <v>2023</v>
      </c>
    </row>
    <row r="509" spans="1:8" x14ac:dyDescent="0.25">
      <c r="A509" s="261" t="s">
        <v>1530</v>
      </c>
      <c r="B509" s="41" t="s">
        <v>2466</v>
      </c>
      <c r="C509" s="42" t="s">
        <v>1599</v>
      </c>
      <c r="D509" s="43" t="s">
        <v>2606</v>
      </c>
      <c r="E509" s="155" t="s">
        <v>1661</v>
      </c>
      <c r="F509" s="55" t="s">
        <v>1731</v>
      </c>
      <c r="G509" s="42" t="s">
        <v>24</v>
      </c>
      <c r="H509" s="142">
        <v>2023</v>
      </c>
    </row>
    <row r="510" spans="1:8" x14ac:dyDescent="0.25">
      <c r="A510" s="261" t="s">
        <v>1531</v>
      </c>
      <c r="B510" s="41" t="s">
        <v>2026</v>
      </c>
      <c r="C510" s="42" t="s">
        <v>1599</v>
      </c>
      <c r="D510" s="43" t="s">
        <v>913</v>
      </c>
      <c r="E510" s="155" t="s">
        <v>1662</v>
      </c>
      <c r="F510" s="55" t="s">
        <v>1725</v>
      </c>
      <c r="G510" s="42" t="s">
        <v>24</v>
      </c>
      <c r="H510" s="142">
        <v>2023</v>
      </c>
    </row>
    <row r="511" spans="1:8" x14ac:dyDescent="0.25">
      <c r="A511" s="256" t="s">
        <v>1381</v>
      </c>
      <c r="B511" s="41" t="s">
        <v>942</v>
      </c>
      <c r="C511" s="42" t="s">
        <v>943</v>
      </c>
      <c r="D511" s="43" t="s">
        <v>913</v>
      </c>
      <c r="E511" s="155" t="s">
        <v>1380</v>
      </c>
      <c r="F511" s="55" t="s">
        <v>1725</v>
      </c>
      <c r="G511" s="42" t="s">
        <v>24</v>
      </c>
      <c r="H511" s="42">
        <v>2022</v>
      </c>
    </row>
    <row r="512" spans="1:8" x14ac:dyDescent="0.25">
      <c r="A512" s="175" t="s">
        <v>256</v>
      </c>
      <c r="B512" s="41" t="s">
        <v>255</v>
      </c>
      <c r="C512" s="42" t="s">
        <v>548</v>
      </c>
      <c r="D512" s="43" t="s">
        <v>913</v>
      </c>
      <c r="E512" s="155"/>
      <c r="F512" s="55" t="s">
        <v>1725</v>
      </c>
      <c r="G512" s="42" t="s">
        <v>24</v>
      </c>
      <c r="H512" s="138">
        <v>2021</v>
      </c>
    </row>
    <row r="513" spans="1:8" x14ac:dyDescent="0.25">
      <c r="A513" s="175" t="s">
        <v>1870</v>
      </c>
      <c r="B513" s="41" t="s">
        <v>2027</v>
      </c>
      <c r="C513" s="42" t="s">
        <v>1599</v>
      </c>
      <c r="D513" s="43" t="s">
        <v>913</v>
      </c>
      <c r="E513" s="155" t="s">
        <v>2557</v>
      </c>
      <c r="F513" s="55" t="s">
        <v>1725</v>
      </c>
      <c r="G513" s="42" t="s">
        <v>24</v>
      </c>
      <c r="H513" s="138">
        <v>2024</v>
      </c>
    </row>
    <row r="514" spans="1:8" x14ac:dyDescent="0.25">
      <c r="A514" s="257" t="s">
        <v>309</v>
      </c>
      <c r="B514" s="41" t="s">
        <v>2426</v>
      </c>
      <c r="C514" s="42" t="s">
        <v>567</v>
      </c>
      <c r="D514" s="43" t="s">
        <v>913</v>
      </c>
      <c r="E514" s="47" t="s">
        <v>1239</v>
      </c>
      <c r="F514" s="55" t="s">
        <v>1725</v>
      </c>
      <c r="G514" s="42" t="s">
        <v>24</v>
      </c>
      <c r="H514" s="42">
        <v>2021</v>
      </c>
    </row>
    <row r="515" spans="1:8" x14ac:dyDescent="0.25">
      <c r="A515" s="257">
        <v>227318</v>
      </c>
      <c r="B515" s="41" t="s">
        <v>62</v>
      </c>
      <c r="C515" s="42" t="s">
        <v>386</v>
      </c>
      <c r="D515" s="43" t="s">
        <v>889</v>
      </c>
      <c r="E515" s="47" t="s">
        <v>1413</v>
      </c>
      <c r="F515" s="55" t="s">
        <v>1724</v>
      </c>
      <c r="G515" s="42" t="s">
        <v>886</v>
      </c>
      <c r="H515" s="42">
        <v>2016</v>
      </c>
    </row>
    <row r="516" spans="1:8" x14ac:dyDescent="0.25">
      <c r="A516" s="257">
        <v>231041</v>
      </c>
      <c r="B516" s="41" t="s">
        <v>62</v>
      </c>
      <c r="C516" s="42" t="s">
        <v>386</v>
      </c>
      <c r="D516" s="43" t="s">
        <v>889</v>
      </c>
      <c r="E516" s="59" t="s">
        <v>1413</v>
      </c>
      <c r="F516" s="55" t="s">
        <v>1724</v>
      </c>
      <c r="G516" s="42" t="s">
        <v>926</v>
      </c>
      <c r="H516" s="42">
        <v>2018</v>
      </c>
    </row>
    <row r="517" spans="1:8" x14ac:dyDescent="0.25">
      <c r="A517" s="257">
        <v>231047</v>
      </c>
      <c r="B517" s="41" t="s">
        <v>62</v>
      </c>
      <c r="C517" s="42" t="s">
        <v>386</v>
      </c>
      <c r="D517" s="43" t="s">
        <v>889</v>
      </c>
      <c r="E517" s="59" t="s">
        <v>1413</v>
      </c>
      <c r="F517" s="55" t="s">
        <v>1724</v>
      </c>
      <c r="G517" s="42" t="s">
        <v>926</v>
      </c>
      <c r="H517" s="42">
        <v>2018</v>
      </c>
    </row>
    <row r="518" spans="1:8" x14ac:dyDescent="0.25">
      <c r="A518" s="257">
        <v>231056</v>
      </c>
      <c r="B518" s="41" t="s">
        <v>62</v>
      </c>
      <c r="C518" s="42" t="s">
        <v>386</v>
      </c>
      <c r="D518" s="43" t="s">
        <v>889</v>
      </c>
      <c r="E518" s="47" t="s">
        <v>1413</v>
      </c>
      <c r="F518" s="55" t="s">
        <v>1724</v>
      </c>
      <c r="G518" s="42" t="s">
        <v>926</v>
      </c>
      <c r="H518" s="42">
        <v>2018</v>
      </c>
    </row>
    <row r="519" spans="1:8" x14ac:dyDescent="0.25">
      <c r="A519" s="257" t="s">
        <v>1457</v>
      </c>
      <c r="B519" s="41" t="s">
        <v>62</v>
      </c>
      <c r="C519" s="42" t="s">
        <v>386</v>
      </c>
      <c r="D519" s="43" t="s">
        <v>889</v>
      </c>
      <c r="E519" s="154" t="s">
        <v>1413</v>
      </c>
      <c r="F519" s="55" t="s">
        <v>1724</v>
      </c>
      <c r="G519" s="42" t="s">
        <v>182</v>
      </c>
      <c r="H519" s="42">
        <v>2024</v>
      </c>
    </row>
    <row r="520" spans="1:8" x14ac:dyDescent="0.25">
      <c r="A520" s="257" t="s">
        <v>1839</v>
      </c>
      <c r="B520" s="41" t="s">
        <v>62</v>
      </c>
      <c r="C520" s="42" t="s">
        <v>386</v>
      </c>
      <c r="D520" s="43" t="s">
        <v>889</v>
      </c>
      <c r="E520" s="154" t="s">
        <v>1947</v>
      </c>
      <c r="F520" s="55" t="s">
        <v>1724</v>
      </c>
      <c r="G520" s="42" t="s">
        <v>24</v>
      </c>
      <c r="H520" s="42">
        <v>2024</v>
      </c>
    </row>
    <row r="521" spans="1:8" x14ac:dyDescent="0.25">
      <c r="A521" s="257" t="s">
        <v>1838</v>
      </c>
      <c r="B521" s="41" t="s">
        <v>62</v>
      </c>
      <c r="C521" s="42" t="s">
        <v>386</v>
      </c>
      <c r="D521" s="43" t="s">
        <v>889</v>
      </c>
      <c r="E521" s="59" t="s">
        <v>1948</v>
      </c>
      <c r="F521" s="55" t="s">
        <v>1724</v>
      </c>
      <c r="G521" s="42" t="s">
        <v>24</v>
      </c>
      <c r="H521" s="42">
        <v>2024</v>
      </c>
    </row>
    <row r="522" spans="1:8" x14ac:dyDescent="0.25">
      <c r="A522" s="257" t="s">
        <v>1837</v>
      </c>
      <c r="B522" s="41" t="s">
        <v>62</v>
      </c>
      <c r="C522" s="42" t="s">
        <v>386</v>
      </c>
      <c r="D522" s="43" t="s">
        <v>889</v>
      </c>
      <c r="E522" s="47" t="s">
        <v>1949</v>
      </c>
      <c r="F522" s="55" t="s">
        <v>1724</v>
      </c>
      <c r="G522" s="42" t="s">
        <v>37</v>
      </c>
      <c r="H522" s="42">
        <v>2024</v>
      </c>
    </row>
    <row r="523" spans="1:8" x14ac:dyDescent="0.25">
      <c r="A523" s="257" t="s">
        <v>1920</v>
      </c>
      <c r="B523" s="41" t="s">
        <v>62</v>
      </c>
      <c r="C523" s="42" t="s">
        <v>386</v>
      </c>
      <c r="D523" s="43" t="s">
        <v>889</v>
      </c>
      <c r="E523" s="47" t="s">
        <v>1948</v>
      </c>
      <c r="F523" s="55" t="s">
        <v>1724</v>
      </c>
      <c r="G523" s="42" t="s">
        <v>24</v>
      </c>
      <c r="H523" s="42">
        <v>2024</v>
      </c>
    </row>
    <row r="524" spans="1:8" x14ac:dyDescent="0.25">
      <c r="A524" s="257" t="s">
        <v>1460</v>
      </c>
      <c r="B524" s="41" t="s">
        <v>2467</v>
      </c>
      <c r="C524" s="42" t="s">
        <v>1576</v>
      </c>
      <c r="D524" s="43" t="s">
        <v>889</v>
      </c>
      <c r="E524" s="47" t="s">
        <v>1616</v>
      </c>
      <c r="F524" s="55" t="s">
        <v>1731</v>
      </c>
      <c r="G524" s="42" t="s">
        <v>24</v>
      </c>
      <c r="H524" s="42">
        <v>2023</v>
      </c>
    </row>
    <row r="525" spans="1:8" x14ac:dyDescent="0.25">
      <c r="A525" s="257" t="s">
        <v>1923</v>
      </c>
      <c r="B525" s="41" t="s">
        <v>2468</v>
      </c>
      <c r="C525" s="42" t="s">
        <v>456</v>
      </c>
      <c r="D525" s="43" t="s">
        <v>889</v>
      </c>
      <c r="E525" s="59" t="s">
        <v>2558</v>
      </c>
      <c r="F525" s="55" t="s">
        <v>1731</v>
      </c>
      <c r="G525" s="42" t="s">
        <v>260</v>
      </c>
      <c r="H525" s="42">
        <v>2025</v>
      </c>
    </row>
    <row r="526" spans="1:8" x14ac:dyDescent="0.25">
      <c r="A526" s="257" t="s">
        <v>2012</v>
      </c>
      <c r="B526" s="41" t="s">
        <v>2469</v>
      </c>
      <c r="C526" s="42" t="s">
        <v>456</v>
      </c>
      <c r="D526" s="43" t="s">
        <v>889</v>
      </c>
      <c r="E526" s="47" t="s">
        <v>2559</v>
      </c>
      <c r="F526" s="55" t="s">
        <v>1731</v>
      </c>
      <c r="G526" s="42" t="s">
        <v>24</v>
      </c>
      <c r="H526" s="42">
        <v>2025</v>
      </c>
    </row>
    <row r="527" spans="1:8" x14ac:dyDescent="0.25">
      <c r="A527" s="257" t="s">
        <v>66</v>
      </c>
      <c r="B527" s="41" t="s">
        <v>65</v>
      </c>
      <c r="C527" s="42" t="s">
        <v>388</v>
      </c>
      <c r="D527" s="43" t="s">
        <v>889</v>
      </c>
      <c r="E527" s="47"/>
      <c r="F527" s="55" t="s">
        <v>1745</v>
      </c>
      <c r="G527" s="42" t="s">
        <v>37</v>
      </c>
      <c r="H527" s="42">
        <v>2018</v>
      </c>
    </row>
    <row r="528" spans="1:8" x14ac:dyDescent="0.25">
      <c r="A528" s="257">
        <v>227148</v>
      </c>
      <c r="B528" s="41" t="s">
        <v>72</v>
      </c>
      <c r="C528" s="42" t="s">
        <v>397</v>
      </c>
      <c r="D528" s="43" t="s">
        <v>889</v>
      </c>
      <c r="E528" s="47" t="s">
        <v>1254</v>
      </c>
      <c r="F528" s="55" t="s">
        <v>1732</v>
      </c>
      <c r="G528" s="42" t="s">
        <v>927</v>
      </c>
      <c r="H528" s="42">
        <v>2016</v>
      </c>
    </row>
    <row r="529" spans="1:8" x14ac:dyDescent="0.25">
      <c r="A529" s="257">
        <v>227406</v>
      </c>
      <c r="B529" s="41" t="s">
        <v>72</v>
      </c>
      <c r="C529" s="42" t="s">
        <v>397</v>
      </c>
      <c r="D529" s="43" t="s">
        <v>889</v>
      </c>
      <c r="E529" s="47" t="s">
        <v>1254</v>
      </c>
      <c r="F529" s="55" t="s">
        <v>1732</v>
      </c>
      <c r="G529" s="42" t="s">
        <v>927</v>
      </c>
      <c r="H529" s="42">
        <v>2016</v>
      </c>
    </row>
    <row r="530" spans="1:8" x14ac:dyDescent="0.25">
      <c r="A530" s="257">
        <v>227468</v>
      </c>
      <c r="B530" s="41" t="s">
        <v>72</v>
      </c>
      <c r="C530" s="42" t="s">
        <v>397</v>
      </c>
      <c r="D530" s="43" t="s">
        <v>889</v>
      </c>
      <c r="E530" s="47" t="s">
        <v>1254</v>
      </c>
      <c r="F530" s="55" t="s">
        <v>1732</v>
      </c>
      <c r="G530" s="42" t="s">
        <v>927</v>
      </c>
      <c r="H530" s="42">
        <v>2016</v>
      </c>
    </row>
    <row r="531" spans="1:8" x14ac:dyDescent="0.25">
      <c r="A531" s="257">
        <v>224404</v>
      </c>
      <c r="B531" s="41" t="s">
        <v>112</v>
      </c>
      <c r="C531" s="42" t="s">
        <v>447</v>
      </c>
      <c r="D531" s="43" t="s">
        <v>889</v>
      </c>
      <c r="E531" s="47" t="s">
        <v>1202</v>
      </c>
      <c r="F531" s="55" t="s">
        <v>1790</v>
      </c>
      <c r="G531" s="42" t="s">
        <v>1812</v>
      </c>
      <c r="H531" s="42">
        <v>2014</v>
      </c>
    </row>
    <row r="532" spans="1:8" x14ac:dyDescent="0.25">
      <c r="A532" s="257">
        <v>225009</v>
      </c>
      <c r="B532" s="41" t="s">
        <v>112</v>
      </c>
      <c r="C532" s="42" t="s">
        <v>447</v>
      </c>
      <c r="D532" s="43" t="s">
        <v>889</v>
      </c>
      <c r="E532" s="47" t="s">
        <v>1202</v>
      </c>
      <c r="F532" s="55" t="s">
        <v>1790</v>
      </c>
      <c r="G532" s="42" t="s">
        <v>926</v>
      </c>
      <c r="H532" s="42">
        <v>2014</v>
      </c>
    </row>
    <row r="533" spans="1:8" x14ac:dyDescent="0.25">
      <c r="A533" s="257">
        <v>231043</v>
      </c>
      <c r="B533" s="41" t="s">
        <v>112</v>
      </c>
      <c r="C533" s="42" t="s">
        <v>447</v>
      </c>
      <c r="D533" s="43" t="s">
        <v>889</v>
      </c>
      <c r="E533" s="47" t="s">
        <v>1202</v>
      </c>
      <c r="F533" s="55" t="s">
        <v>1790</v>
      </c>
      <c r="G533" s="42" t="s">
        <v>926</v>
      </c>
      <c r="H533" s="42">
        <v>2018</v>
      </c>
    </row>
    <row r="534" spans="1:8" x14ac:dyDescent="0.25">
      <c r="A534" s="257" t="s">
        <v>1203</v>
      </c>
      <c r="B534" s="41" t="s">
        <v>112</v>
      </c>
      <c r="C534" s="42" t="s">
        <v>447</v>
      </c>
      <c r="D534" s="43" t="s">
        <v>889</v>
      </c>
      <c r="E534" s="47" t="s">
        <v>1202</v>
      </c>
      <c r="F534" s="55" t="s">
        <v>1790</v>
      </c>
      <c r="G534" s="42" t="s">
        <v>24</v>
      </c>
      <c r="H534" s="42">
        <v>2022</v>
      </c>
    </row>
    <row r="535" spans="1:8" x14ac:dyDescent="0.25">
      <c r="A535" s="257">
        <v>231053</v>
      </c>
      <c r="B535" s="41" t="s">
        <v>63</v>
      </c>
      <c r="C535" s="42" t="s">
        <v>387</v>
      </c>
      <c r="D535" s="43" t="s">
        <v>889</v>
      </c>
      <c r="E535" s="47" t="s">
        <v>1194</v>
      </c>
      <c r="F535" s="55" t="s">
        <v>1725</v>
      </c>
      <c r="G535" s="42" t="s">
        <v>927</v>
      </c>
      <c r="H535" s="42">
        <v>2018</v>
      </c>
    </row>
    <row r="536" spans="1:8" x14ac:dyDescent="0.25">
      <c r="A536" s="257" t="s">
        <v>64</v>
      </c>
      <c r="B536" s="41" t="s">
        <v>63</v>
      </c>
      <c r="C536" s="42" t="s">
        <v>387</v>
      </c>
      <c r="D536" s="43" t="s">
        <v>889</v>
      </c>
      <c r="E536" s="47" t="s">
        <v>1193</v>
      </c>
      <c r="F536" s="55" t="s">
        <v>1725</v>
      </c>
      <c r="G536" s="42" t="s">
        <v>24</v>
      </c>
      <c r="H536" s="42">
        <v>2020</v>
      </c>
    </row>
    <row r="537" spans="1:8" x14ac:dyDescent="0.25">
      <c r="A537" s="257" t="s">
        <v>1566</v>
      </c>
      <c r="B537" s="41" t="s">
        <v>2470</v>
      </c>
      <c r="C537" s="42" t="s">
        <v>518</v>
      </c>
      <c r="D537" s="43" t="s">
        <v>889</v>
      </c>
      <c r="E537" s="47" t="s">
        <v>1674</v>
      </c>
      <c r="F537" s="55" t="s">
        <v>1725</v>
      </c>
      <c r="G537" s="42" t="s">
        <v>24</v>
      </c>
      <c r="H537" s="42">
        <v>2019</v>
      </c>
    </row>
    <row r="538" spans="1:8" x14ac:dyDescent="0.25">
      <c r="A538" s="257">
        <v>208372</v>
      </c>
      <c r="B538" s="41" t="s">
        <v>56</v>
      </c>
      <c r="C538" s="42" t="s">
        <v>381</v>
      </c>
      <c r="D538" s="43" t="s">
        <v>891</v>
      </c>
      <c r="E538" s="47"/>
      <c r="F538" s="55" t="s">
        <v>1732</v>
      </c>
      <c r="G538" s="42" t="s">
        <v>926</v>
      </c>
      <c r="H538" s="42">
        <v>2009</v>
      </c>
    </row>
    <row r="539" spans="1:8" x14ac:dyDescent="0.25">
      <c r="A539" s="257">
        <v>215539</v>
      </c>
      <c r="B539" s="41" t="s">
        <v>56</v>
      </c>
      <c r="C539" s="42" t="s">
        <v>381</v>
      </c>
      <c r="D539" s="43" t="s">
        <v>891</v>
      </c>
      <c r="E539" s="47"/>
      <c r="F539" s="55" t="s">
        <v>1732</v>
      </c>
      <c r="G539" s="42" t="s">
        <v>926</v>
      </c>
      <c r="H539" s="42">
        <v>2011</v>
      </c>
    </row>
    <row r="540" spans="1:8" x14ac:dyDescent="0.25">
      <c r="A540" s="257">
        <v>220309</v>
      </c>
      <c r="B540" s="41" t="s">
        <v>56</v>
      </c>
      <c r="C540" s="42" t="s">
        <v>381</v>
      </c>
      <c r="D540" s="43" t="s">
        <v>891</v>
      </c>
      <c r="E540" s="59"/>
      <c r="F540" s="55" t="s">
        <v>1732</v>
      </c>
      <c r="G540" s="42" t="s">
        <v>926</v>
      </c>
      <c r="H540" s="42">
        <v>2009</v>
      </c>
    </row>
    <row r="541" spans="1:8" x14ac:dyDescent="0.25">
      <c r="A541" s="257" t="s">
        <v>1966</v>
      </c>
      <c r="B541" s="41" t="s">
        <v>58</v>
      </c>
      <c r="C541" s="42" t="s">
        <v>383</v>
      </c>
      <c r="D541" s="43" t="s">
        <v>891</v>
      </c>
      <c r="E541" s="47"/>
      <c r="F541" s="55" t="s">
        <v>1732</v>
      </c>
      <c r="G541" s="42" t="s">
        <v>926</v>
      </c>
      <c r="H541" s="42">
        <v>2009</v>
      </c>
    </row>
    <row r="542" spans="1:8" x14ac:dyDescent="0.25">
      <c r="A542" s="257">
        <v>222895</v>
      </c>
      <c r="B542" s="41" t="s">
        <v>2471</v>
      </c>
      <c r="C542" s="42" t="s">
        <v>355</v>
      </c>
      <c r="D542" s="43" t="s">
        <v>891</v>
      </c>
      <c r="E542" s="47" t="s">
        <v>1383</v>
      </c>
      <c r="F542" s="55" t="s">
        <v>1732</v>
      </c>
      <c r="G542" s="42" t="s">
        <v>926</v>
      </c>
      <c r="H542" s="42">
        <v>2012</v>
      </c>
    </row>
    <row r="543" spans="1:8" x14ac:dyDescent="0.25">
      <c r="A543" s="257" t="s">
        <v>1966</v>
      </c>
      <c r="B543" s="41" t="s">
        <v>67</v>
      </c>
      <c r="C543" s="42" t="s">
        <v>389</v>
      </c>
      <c r="D543" s="43" t="s">
        <v>891</v>
      </c>
      <c r="E543" s="47"/>
      <c r="F543" s="55" t="s">
        <v>1732</v>
      </c>
      <c r="G543" s="42" t="s">
        <v>926</v>
      </c>
      <c r="H543" s="42">
        <v>2011</v>
      </c>
    </row>
    <row r="544" spans="1:8" x14ac:dyDescent="0.25">
      <c r="A544" s="257">
        <v>222899</v>
      </c>
      <c r="B544" s="41" t="s">
        <v>69</v>
      </c>
      <c r="C544" s="42" t="s">
        <v>392</v>
      </c>
      <c r="D544" s="43" t="s">
        <v>891</v>
      </c>
      <c r="E544" s="47"/>
      <c r="F544" s="55" t="s">
        <v>1732</v>
      </c>
      <c r="G544" s="42" t="s">
        <v>926</v>
      </c>
      <c r="H544" s="42">
        <v>2013</v>
      </c>
    </row>
    <row r="545" spans="1:8" x14ac:dyDescent="0.25">
      <c r="A545" s="257">
        <v>235563</v>
      </c>
      <c r="B545" s="41" t="s">
        <v>2025</v>
      </c>
      <c r="C545" s="42" t="s">
        <v>362</v>
      </c>
      <c r="D545" s="43" t="s">
        <v>891</v>
      </c>
      <c r="E545" s="47" t="s">
        <v>1256</v>
      </c>
      <c r="F545" s="55" t="s">
        <v>1732</v>
      </c>
      <c r="G545" s="42" t="s">
        <v>926</v>
      </c>
      <c r="H545" s="42">
        <v>2009</v>
      </c>
    </row>
    <row r="546" spans="1:8" x14ac:dyDescent="0.25">
      <c r="A546" s="257">
        <v>230049</v>
      </c>
      <c r="B546" s="41" t="s">
        <v>2472</v>
      </c>
      <c r="C546" s="42" t="s">
        <v>341</v>
      </c>
      <c r="D546" s="43" t="s">
        <v>891</v>
      </c>
      <c r="E546" s="47" t="s">
        <v>1145</v>
      </c>
      <c r="F546" s="55" t="s">
        <v>1732</v>
      </c>
      <c r="G546" s="42" t="s">
        <v>926</v>
      </c>
      <c r="H546" s="42">
        <v>2018</v>
      </c>
    </row>
    <row r="547" spans="1:8" x14ac:dyDescent="0.25">
      <c r="A547" s="257" t="s">
        <v>225</v>
      </c>
      <c r="B547" s="41" t="s">
        <v>2472</v>
      </c>
      <c r="C547" s="42" t="s">
        <v>341</v>
      </c>
      <c r="D547" s="43" t="s">
        <v>891</v>
      </c>
      <c r="E547" s="47" t="s">
        <v>1145</v>
      </c>
      <c r="F547" s="55" t="s">
        <v>1732</v>
      </c>
      <c r="G547" s="42" t="s">
        <v>24</v>
      </c>
      <c r="H547" s="42">
        <v>2021</v>
      </c>
    </row>
    <row r="548" spans="1:8" x14ac:dyDescent="0.25">
      <c r="A548" s="257" t="s">
        <v>1855</v>
      </c>
      <c r="B548" s="41" t="s">
        <v>2473</v>
      </c>
      <c r="C548" s="42" t="s">
        <v>1762</v>
      </c>
      <c r="D548" s="43" t="s">
        <v>891</v>
      </c>
      <c r="E548" s="59" t="s">
        <v>1763</v>
      </c>
      <c r="F548" s="55" t="s">
        <v>1764</v>
      </c>
      <c r="G548" s="42" t="s">
        <v>1680</v>
      </c>
      <c r="H548" s="42">
        <v>2025</v>
      </c>
    </row>
    <row r="549" spans="1:8" x14ac:dyDescent="0.25">
      <c r="A549" s="257" t="s">
        <v>313</v>
      </c>
      <c r="B549" s="41" t="s">
        <v>1772</v>
      </c>
      <c r="C549" s="42" t="s">
        <v>570</v>
      </c>
      <c r="D549" s="43" t="s">
        <v>891</v>
      </c>
      <c r="E549" s="47" t="s">
        <v>1323</v>
      </c>
      <c r="F549" s="55" t="s">
        <v>1732</v>
      </c>
      <c r="G549" s="42" t="s">
        <v>24</v>
      </c>
      <c r="H549" s="42">
        <v>2021</v>
      </c>
    </row>
    <row r="550" spans="1:8" x14ac:dyDescent="0.25">
      <c r="A550" s="257" t="s">
        <v>314</v>
      </c>
      <c r="B550" s="41" t="s">
        <v>1772</v>
      </c>
      <c r="C550" s="42" t="s">
        <v>570</v>
      </c>
      <c r="D550" s="43" t="s">
        <v>891</v>
      </c>
      <c r="E550" s="47" t="s">
        <v>1324</v>
      </c>
      <c r="F550" s="55" t="s">
        <v>1732</v>
      </c>
      <c r="G550" s="42" t="s">
        <v>24</v>
      </c>
      <c r="H550" s="42">
        <v>2021</v>
      </c>
    </row>
    <row r="551" spans="1:8" x14ac:dyDescent="0.25">
      <c r="A551" s="257">
        <v>215517</v>
      </c>
      <c r="B551" s="41" t="s">
        <v>42</v>
      </c>
      <c r="C551" s="42" t="s">
        <v>362</v>
      </c>
      <c r="D551" s="43" t="s">
        <v>891</v>
      </c>
      <c r="E551" s="47" t="s">
        <v>1256</v>
      </c>
      <c r="F551" s="55" t="s">
        <v>1732</v>
      </c>
      <c r="G551" s="42" t="s">
        <v>926</v>
      </c>
      <c r="H551" s="42">
        <v>2009</v>
      </c>
    </row>
    <row r="552" spans="1:8" x14ac:dyDescent="0.25">
      <c r="A552" s="257">
        <v>215535</v>
      </c>
      <c r="B552" s="41" t="s">
        <v>42</v>
      </c>
      <c r="C552" s="42" t="s">
        <v>362</v>
      </c>
      <c r="D552" s="43" t="s">
        <v>891</v>
      </c>
      <c r="E552" s="47" t="s">
        <v>1256</v>
      </c>
      <c r="F552" s="55" t="s">
        <v>1732</v>
      </c>
      <c r="G552" s="42" t="s">
        <v>926</v>
      </c>
      <c r="H552" s="42">
        <v>2009</v>
      </c>
    </row>
    <row r="553" spans="1:8" x14ac:dyDescent="0.25">
      <c r="A553" s="257">
        <v>221619</v>
      </c>
      <c r="B553" s="41" t="s">
        <v>42</v>
      </c>
      <c r="C553" s="42" t="s">
        <v>362</v>
      </c>
      <c r="D553" s="43" t="s">
        <v>891</v>
      </c>
      <c r="E553" s="47" t="s">
        <v>1256</v>
      </c>
      <c r="F553" s="55" t="s">
        <v>1732</v>
      </c>
      <c r="G553" s="42" t="s">
        <v>926</v>
      </c>
      <c r="H553" s="42">
        <v>2011</v>
      </c>
    </row>
    <row r="554" spans="1:8" x14ac:dyDescent="0.25">
      <c r="A554" s="257" t="s">
        <v>1966</v>
      </c>
      <c r="B554" s="41" t="s">
        <v>71</v>
      </c>
      <c r="C554" s="42" t="s">
        <v>395</v>
      </c>
      <c r="D554" s="43" t="s">
        <v>891</v>
      </c>
      <c r="E554" s="155"/>
      <c r="F554" s="55" t="s">
        <v>1732</v>
      </c>
      <c r="G554" s="127" t="s">
        <v>926</v>
      </c>
      <c r="H554" s="42">
        <v>2011</v>
      </c>
    </row>
    <row r="555" spans="1:8" x14ac:dyDescent="0.25">
      <c r="A555" s="257" t="s">
        <v>1966</v>
      </c>
      <c r="B555" s="41" t="s">
        <v>71</v>
      </c>
      <c r="C555" s="42" t="s">
        <v>395</v>
      </c>
      <c r="D555" s="43" t="s">
        <v>891</v>
      </c>
      <c r="E555" s="59"/>
      <c r="F555" s="55" t="s">
        <v>1732</v>
      </c>
      <c r="G555" s="42" t="s">
        <v>926</v>
      </c>
      <c r="H555" s="42">
        <v>2009</v>
      </c>
    </row>
    <row r="556" spans="1:8" x14ac:dyDescent="0.25">
      <c r="A556" s="257">
        <v>215183</v>
      </c>
      <c r="B556" s="41" t="s">
        <v>52</v>
      </c>
      <c r="C556" s="42" t="s">
        <v>377</v>
      </c>
      <c r="D556" s="43" t="s">
        <v>891</v>
      </c>
      <c r="E556" s="47" t="s">
        <v>1290</v>
      </c>
      <c r="F556" s="55" t="s">
        <v>1732</v>
      </c>
      <c r="G556" s="42" t="s">
        <v>926</v>
      </c>
      <c r="H556" s="42">
        <v>2009</v>
      </c>
    </row>
    <row r="557" spans="1:8" x14ac:dyDescent="0.25">
      <c r="A557" s="257">
        <v>230045</v>
      </c>
      <c r="B557" s="41" t="s">
        <v>52</v>
      </c>
      <c r="C557" s="42" t="s">
        <v>377</v>
      </c>
      <c r="D557" s="43" t="s">
        <v>891</v>
      </c>
      <c r="E557" s="47" t="s">
        <v>1290</v>
      </c>
      <c r="F557" s="55" t="s">
        <v>1732</v>
      </c>
      <c r="G557" s="42" t="s">
        <v>926</v>
      </c>
      <c r="H557" s="42">
        <v>2018</v>
      </c>
    </row>
    <row r="558" spans="1:8" x14ac:dyDescent="0.25">
      <c r="A558" s="257">
        <v>220174</v>
      </c>
      <c r="B558" s="41" t="s">
        <v>2474</v>
      </c>
      <c r="C558" s="42" t="s">
        <v>398</v>
      </c>
      <c r="D558" s="43" t="s">
        <v>891</v>
      </c>
      <c r="E558" s="47"/>
      <c r="F558" s="55" t="s">
        <v>1732</v>
      </c>
      <c r="G558" s="42" t="s">
        <v>926</v>
      </c>
      <c r="H558" s="42">
        <v>2011</v>
      </c>
    </row>
    <row r="559" spans="1:8" x14ac:dyDescent="0.25">
      <c r="A559" s="175">
        <v>220295</v>
      </c>
      <c r="B559" s="41" t="s">
        <v>73</v>
      </c>
      <c r="C559" s="42" t="s">
        <v>399</v>
      </c>
      <c r="D559" s="43" t="s">
        <v>891</v>
      </c>
      <c r="E559" s="155"/>
      <c r="F559" s="55" t="s">
        <v>1732</v>
      </c>
      <c r="G559" s="42" t="s">
        <v>926</v>
      </c>
      <c r="H559" s="42">
        <v>2010</v>
      </c>
    </row>
    <row r="560" spans="1:8" x14ac:dyDescent="0.25">
      <c r="A560" s="175" t="s">
        <v>74</v>
      </c>
      <c r="B560" s="41" t="s">
        <v>73</v>
      </c>
      <c r="C560" s="42" t="s">
        <v>399</v>
      </c>
      <c r="D560" s="43" t="s">
        <v>891</v>
      </c>
      <c r="E560" s="155"/>
      <c r="F560" s="55" t="s">
        <v>1732</v>
      </c>
      <c r="G560" s="42" t="s">
        <v>926</v>
      </c>
      <c r="H560" s="42">
        <v>2009</v>
      </c>
    </row>
    <row r="561" spans="1:8" x14ac:dyDescent="0.25">
      <c r="A561" s="257">
        <v>208632</v>
      </c>
      <c r="B561" s="41" t="s">
        <v>2475</v>
      </c>
      <c r="C561" s="42" t="s">
        <v>364</v>
      </c>
      <c r="D561" s="43" t="s">
        <v>891</v>
      </c>
      <c r="E561" s="126"/>
      <c r="F561" s="55" t="s">
        <v>1732</v>
      </c>
      <c r="G561" s="42" t="s">
        <v>926</v>
      </c>
      <c r="H561" s="42">
        <v>2009</v>
      </c>
    </row>
    <row r="562" spans="1:8" x14ac:dyDescent="0.25">
      <c r="A562" s="175">
        <v>226951</v>
      </c>
      <c r="B562" s="41" t="s">
        <v>2476</v>
      </c>
      <c r="C562" s="42" t="s">
        <v>370</v>
      </c>
      <c r="D562" s="43" t="s">
        <v>891</v>
      </c>
      <c r="E562" s="151" t="s">
        <v>1155</v>
      </c>
      <c r="F562" s="140" t="s">
        <v>1732</v>
      </c>
      <c r="G562" s="138" t="s">
        <v>927</v>
      </c>
      <c r="H562" s="138">
        <v>2016</v>
      </c>
    </row>
    <row r="563" spans="1:8" x14ac:dyDescent="0.25">
      <c r="A563" s="175">
        <v>221757</v>
      </c>
      <c r="B563" s="41" t="s">
        <v>2477</v>
      </c>
      <c r="C563" s="42" t="s">
        <v>452</v>
      </c>
      <c r="D563" s="43" t="s">
        <v>891</v>
      </c>
      <c r="E563" s="156" t="s">
        <v>1124</v>
      </c>
      <c r="F563" s="140" t="s">
        <v>1828</v>
      </c>
      <c r="G563" s="138" t="s">
        <v>926</v>
      </c>
      <c r="H563" s="138">
        <v>2012</v>
      </c>
    </row>
    <row r="564" spans="1:8" x14ac:dyDescent="0.25">
      <c r="A564" s="175">
        <v>221759</v>
      </c>
      <c r="B564" s="41" t="s">
        <v>2477</v>
      </c>
      <c r="C564" s="42" t="s">
        <v>452</v>
      </c>
      <c r="D564" s="43" t="s">
        <v>891</v>
      </c>
      <c r="E564" s="156" t="s">
        <v>1124</v>
      </c>
      <c r="F564" s="140" t="s">
        <v>1828</v>
      </c>
      <c r="G564" s="138" t="s">
        <v>926</v>
      </c>
      <c r="H564" s="138">
        <v>2012</v>
      </c>
    </row>
    <row r="565" spans="1:8" x14ac:dyDescent="0.25">
      <c r="A565" s="175">
        <v>225277</v>
      </c>
      <c r="B565" s="152" t="s">
        <v>2477</v>
      </c>
      <c r="C565" s="175" t="s">
        <v>452</v>
      </c>
      <c r="D565" s="150" t="s">
        <v>891</v>
      </c>
      <c r="E565" s="156" t="s">
        <v>1124</v>
      </c>
      <c r="F565" s="140" t="s">
        <v>1828</v>
      </c>
      <c r="G565" s="138" t="s">
        <v>1409</v>
      </c>
      <c r="H565" s="138">
        <v>2015</v>
      </c>
    </row>
    <row r="566" spans="1:8" x14ac:dyDescent="0.25">
      <c r="A566" s="175">
        <v>225754</v>
      </c>
      <c r="B566" s="152" t="s">
        <v>2477</v>
      </c>
      <c r="C566" s="175" t="s">
        <v>452</v>
      </c>
      <c r="D566" s="150" t="s">
        <v>891</v>
      </c>
      <c r="E566" s="153" t="s">
        <v>1124</v>
      </c>
      <c r="F566" s="140" t="s">
        <v>1828</v>
      </c>
      <c r="G566" s="138" t="s">
        <v>1134</v>
      </c>
      <c r="H566" s="138">
        <v>2015</v>
      </c>
    </row>
    <row r="567" spans="1:8" x14ac:dyDescent="0.25">
      <c r="A567" s="175" t="s">
        <v>1572</v>
      </c>
      <c r="B567" s="152" t="s">
        <v>2477</v>
      </c>
      <c r="C567" s="138" t="s">
        <v>452</v>
      </c>
      <c r="D567" s="150" t="s">
        <v>891</v>
      </c>
      <c r="E567" s="153" t="s">
        <v>1679</v>
      </c>
      <c r="F567" s="140" t="s">
        <v>1828</v>
      </c>
      <c r="G567" s="138" t="s">
        <v>24</v>
      </c>
      <c r="H567" s="138">
        <v>2023</v>
      </c>
    </row>
    <row r="568" spans="1:8" x14ac:dyDescent="0.25">
      <c r="A568" s="257" t="s">
        <v>1894</v>
      </c>
      <c r="B568" s="41" t="s">
        <v>1821</v>
      </c>
      <c r="C568" s="42" t="s">
        <v>1822</v>
      </c>
      <c r="D568" s="43" t="s">
        <v>899</v>
      </c>
      <c r="E568" s="47"/>
      <c r="F568" s="55" t="s">
        <v>1725</v>
      </c>
      <c r="G568" s="42" t="s">
        <v>37</v>
      </c>
      <c r="H568" s="42">
        <v>2024</v>
      </c>
    </row>
    <row r="569" spans="1:8" x14ac:dyDescent="0.25">
      <c r="A569" s="175">
        <v>229754</v>
      </c>
      <c r="B569" s="152" t="s">
        <v>1100</v>
      </c>
      <c r="C569" s="138" t="s">
        <v>430</v>
      </c>
      <c r="D569" s="150" t="s">
        <v>899</v>
      </c>
      <c r="E569" s="153" t="s">
        <v>1399</v>
      </c>
      <c r="F569" s="140" t="s">
        <v>1742</v>
      </c>
      <c r="G569" s="138" t="s">
        <v>926</v>
      </c>
      <c r="H569" s="138">
        <v>2017</v>
      </c>
    </row>
    <row r="570" spans="1:8" x14ac:dyDescent="0.25">
      <c r="A570" s="175" t="s">
        <v>189</v>
      </c>
      <c r="B570" s="152" t="s">
        <v>188</v>
      </c>
      <c r="C570" s="42" t="s">
        <v>524</v>
      </c>
      <c r="D570" s="43" t="s">
        <v>899</v>
      </c>
      <c r="E570" s="155"/>
      <c r="F570" s="55" t="s">
        <v>1725</v>
      </c>
      <c r="G570" s="42" t="s">
        <v>24</v>
      </c>
      <c r="H570" s="42">
        <v>2020</v>
      </c>
    </row>
    <row r="571" spans="1:8" x14ac:dyDescent="0.25">
      <c r="A571" s="175" t="s">
        <v>1468</v>
      </c>
      <c r="B571" s="152" t="s">
        <v>158</v>
      </c>
      <c r="C571" s="138" t="s">
        <v>489</v>
      </c>
      <c r="D571" s="150" t="s">
        <v>899</v>
      </c>
      <c r="E571" s="156" t="s">
        <v>1626</v>
      </c>
      <c r="F571" s="140" t="s">
        <v>1725</v>
      </c>
      <c r="G571" s="138" t="s">
        <v>24</v>
      </c>
      <c r="H571" s="138">
        <v>2019</v>
      </c>
    </row>
    <row r="572" spans="1:8" x14ac:dyDescent="0.25">
      <c r="A572" s="175">
        <v>221732</v>
      </c>
      <c r="B572" s="152" t="s">
        <v>97</v>
      </c>
      <c r="C572" s="138" t="s">
        <v>431</v>
      </c>
      <c r="D572" s="150" t="s">
        <v>899</v>
      </c>
      <c r="E572" s="153" t="s">
        <v>1386</v>
      </c>
      <c r="F572" s="140" t="s">
        <v>1742</v>
      </c>
      <c r="G572" s="138" t="s">
        <v>926</v>
      </c>
      <c r="H572" s="138">
        <v>2011</v>
      </c>
    </row>
    <row r="573" spans="1:8" x14ac:dyDescent="0.25">
      <c r="A573" s="175" t="s">
        <v>1480</v>
      </c>
      <c r="B573" s="152" t="s">
        <v>115</v>
      </c>
      <c r="C573" s="138" t="s">
        <v>450</v>
      </c>
      <c r="D573" s="150" t="s">
        <v>899</v>
      </c>
      <c r="E573" s="153" t="s">
        <v>1378</v>
      </c>
      <c r="F573" s="140" t="s">
        <v>1725</v>
      </c>
      <c r="G573" s="138" t="s">
        <v>24</v>
      </c>
      <c r="H573" s="138">
        <v>2019</v>
      </c>
    </row>
    <row r="574" spans="1:8" x14ac:dyDescent="0.25">
      <c r="A574" s="175" t="s">
        <v>1481</v>
      </c>
      <c r="B574" s="152" t="s">
        <v>114</v>
      </c>
      <c r="C574" s="138" t="s">
        <v>449</v>
      </c>
      <c r="D574" s="150" t="s">
        <v>899</v>
      </c>
      <c r="E574" s="153" t="s">
        <v>1378</v>
      </c>
      <c r="F574" s="140" t="s">
        <v>1725</v>
      </c>
      <c r="G574" s="138" t="s">
        <v>24</v>
      </c>
      <c r="H574" s="138">
        <v>2019</v>
      </c>
    </row>
    <row r="575" spans="1:8" x14ac:dyDescent="0.25">
      <c r="A575" s="175">
        <v>225377</v>
      </c>
      <c r="B575" s="152" t="s">
        <v>2478</v>
      </c>
      <c r="C575" s="138" t="s">
        <v>394</v>
      </c>
      <c r="D575" s="150" t="s">
        <v>899</v>
      </c>
      <c r="E575" s="153" t="s">
        <v>1373</v>
      </c>
      <c r="F575" s="140" t="s">
        <v>1742</v>
      </c>
      <c r="G575" s="138" t="s">
        <v>926</v>
      </c>
      <c r="H575" s="138">
        <v>2011</v>
      </c>
    </row>
    <row r="576" spans="1:8" x14ac:dyDescent="0.25">
      <c r="A576" s="175">
        <v>225379</v>
      </c>
      <c r="B576" s="152" t="s">
        <v>2479</v>
      </c>
      <c r="C576" s="138" t="s">
        <v>394</v>
      </c>
      <c r="D576" s="150" t="s">
        <v>899</v>
      </c>
      <c r="E576" s="153" t="s">
        <v>1372</v>
      </c>
      <c r="F576" s="140" t="s">
        <v>1732</v>
      </c>
      <c r="G576" s="138" t="s">
        <v>926</v>
      </c>
      <c r="H576" s="138">
        <v>1999</v>
      </c>
    </row>
    <row r="577" spans="1:8" x14ac:dyDescent="0.25">
      <c r="A577" s="175">
        <v>227146</v>
      </c>
      <c r="B577" s="152" t="s">
        <v>2479</v>
      </c>
      <c r="C577" s="138" t="s">
        <v>394</v>
      </c>
      <c r="D577" s="150" t="s">
        <v>899</v>
      </c>
      <c r="E577" s="153" t="s">
        <v>1372</v>
      </c>
      <c r="F577" s="176" t="s">
        <v>1732</v>
      </c>
      <c r="G577" s="177" t="s">
        <v>926</v>
      </c>
      <c r="H577" s="177">
        <v>2016</v>
      </c>
    </row>
    <row r="578" spans="1:8" x14ac:dyDescent="0.25">
      <c r="A578" s="268">
        <v>220312</v>
      </c>
      <c r="B578" s="152" t="s">
        <v>2480</v>
      </c>
      <c r="C578" s="178" t="s">
        <v>394</v>
      </c>
      <c r="D578" s="156" t="s">
        <v>899</v>
      </c>
      <c r="E578" s="153" t="s">
        <v>1370</v>
      </c>
      <c r="F578" s="147" t="s">
        <v>1732</v>
      </c>
      <c r="G578" s="147" t="s">
        <v>927</v>
      </c>
      <c r="H578" s="147">
        <v>2014</v>
      </c>
    </row>
    <row r="579" spans="1:8" x14ac:dyDescent="0.25">
      <c r="A579" s="269">
        <v>228659</v>
      </c>
      <c r="B579" s="41" t="s">
        <v>2480</v>
      </c>
      <c r="C579" s="142" t="s">
        <v>394</v>
      </c>
      <c r="D579" s="43" t="s">
        <v>899</v>
      </c>
      <c r="E579" s="59" t="s">
        <v>1370</v>
      </c>
      <c r="F579" s="50" t="s">
        <v>1732</v>
      </c>
      <c r="G579" s="50" t="s">
        <v>927</v>
      </c>
      <c r="H579" s="50">
        <v>2017</v>
      </c>
    </row>
    <row r="580" spans="1:8" x14ac:dyDescent="0.25">
      <c r="A580" s="270">
        <v>231545</v>
      </c>
      <c r="B580" s="48" t="s">
        <v>2481</v>
      </c>
      <c r="C580" s="145" t="s">
        <v>394</v>
      </c>
      <c r="D580" s="179" t="s">
        <v>899</v>
      </c>
      <c r="E580" s="180" t="s">
        <v>1371</v>
      </c>
      <c r="F580" s="143" t="s">
        <v>1732</v>
      </c>
      <c r="G580" s="143" t="s">
        <v>926</v>
      </c>
      <c r="H580" s="143">
        <v>2019</v>
      </c>
    </row>
    <row r="581" spans="1:8" x14ac:dyDescent="0.25">
      <c r="A581" s="261">
        <v>231418</v>
      </c>
      <c r="B581" s="47" t="s">
        <v>98</v>
      </c>
      <c r="C581" s="50" t="s">
        <v>432</v>
      </c>
      <c r="D581" s="47" t="s">
        <v>899</v>
      </c>
      <c r="E581" s="59" t="s">
        <v>1343</v>
      </c>
      <c r="F581" s="50" t="s">
        <v>1732</v>
      </c>
      <c r="G581" s="50" t="s">
        <v>926</v>
      </c>
      <c r="H581" s="50">
        <v>2019</v>
      </c>
    </row>
    <row r="582" spans="1:8" x14ac:dyDescent="0.25">
      <c r="A582" s="261">
        <v>213317</v>
      </c>
      <c r="B582" s="47" t="s">
        <v>2482</v>
      </c>
      <c r="C582" s="50" t="s">
        <v>363</v>
      </c>
      <c r="D582" s="47" t="s">
        <v>899</v>
      </c>
      <c r="E582" s="47" t="s">
        <v>1248</v>
      </c>
      <c r="F582" s="50" t="s">
        <v>1724</v>
      </c>
      <c r="G582" s="50" t="s">
        <v>926</v>
      </c>
      <c r="H582" s="50">
        <v>2009</v>
      </c>
    </row>
    <row r="583" spans="1:8" x14ac:dyDescent="0.25">
      <c r="A583" s="261">
        <v>218917</v>
      </c>
      <c r="B583" s="47" t="s">
        <v>2482</v>
      </c>
      <c r="C583" s="50" t="s">
        <v>363</v>
      </c>
      <c r="D583" s="47" t="s">
        <v>899</v>
      </c>
      <c r="E583" s="59" t="s">
        <v>1248</v>
      </c>
      <c r="F583" s="50" t="s">
        <v>1724</v>
      </c>
      <c r="G583" s="50" t="s">
        <v>926</v>
      </c>
      <c r="H583" s="50">
        <v>2009</v>
      </c>
    </row>
    <row r="584" spans="1:8" x14ac:dyDescent="0.25">
      <c r="A584" s="261">
        <v>221829</v>
      </c>
      <c r="B584" s="47" t="s">
        <v>2482</v>
      </c>
      <c r="C584" s="50" t="s">
        <v>363</v>
      </c>
      <c r="D584" s="47" t="s">
        <v>899</v>
      </c>
      <c r="E584" s="59" t="s">
        <v>1248</v>
      </c>
      <c r="F584" s="50" t="s">
        <v>1724</v>
      </c>
      <c r="G584" s="50" t="s">
        <v>927</v>
      </c>
      <c r="H584" s="50">
        <v>2016</v>
      </c>
    </row>
    <row r="585" spans="1:8" x14ac:dyDescent="0.25">
      <c r="A585" s="271" t="s">
        <v>1956</v>
      </c>
      <c r="B585" s="181" t="s">
        <v>2482</v>
      </c>
      <c r="C585" s="182" t="s">
        <v>363</v>
      </c>
      <c r="D585" s="183" t="s">
        <v>899</v>
      </c>
      <c r="E585" s="183" t="s">
        <v>1248</v>
      </c>
      <c r="F585" s="184" t="s">
        <v>1724</v>
      </c>
      <c r="G585" s="184" t="s">
        <v>37</v>
      </c>
      <c r="H585" s="184">
        <v>2018</v>
      </c>
    </row>
    <row r="586" spans="1:8" x14ac:dyDescent="0.25">
      <c r="A586" s="272" t="s">
        <v>1957</v>
      </c>
      <c r="B586" s="48" t="s">
        <v>2482</v>
      </c>
      <c r="C586" s="145" t="s">
        <v>363</v>
      </c>
      <c r="D586" s="179" t="s">
        <v>899</v>
      </c>
      <c r="E586" s="179" t="s">
        <v>1248</v>
      </c>
      <c r="F586" s="143" t="s">
        <v>1724</v>
      </c>
      <c r="G586" s="143" t="s">
        <v>37</v>
      </c>
      <c r="H586" s="143">
        <v>2018</v>
      </c>
    </row>
    <row r="587" spans="1:8" x14ac:dyDescent="0.25">
      <c r="A587" s="273" t="s">
        <v>1958</v>
      </c>
      <c r="B587" s="41" t="s">
        <v>2482</v>
      </c>
      <c r="C587" s="42" t="s">
        <v>363</v>
      </c>
      <c r="D587" s="43" t="s">
        <v>899</v>
      </c>
      <c r="E587" s="47" t="s">
        <v>1248</v>
      </c>
      <c r="F587" s="55" t="s">
        <v>1724</v>
      </c>
      <c r="G587" s="42" t="s">
        <v>37</v>
      </c>
      <c r="H587" s="42">
        <v>2018</v>
      </c>
    </row>
    <row r="588" spans="1:8" x14ac:dyDescent="0.25">
      <c r="A588" s="270" t="s">
        <v>184</v>
      </c>
      <c r="B588" s="48" t="s">
        <v>2482</v>
      </c>
      <c r="C588" s="42" t="s">
        <v>363</v>
      </c>
      <c r="D588" s="179" t="s">
        <v>899</v>
      </c>
      <c r="E588" s="179" t="s">
        <v>1248</v>
      </c>
      <c r="F588" s="55" t="s">
        <v>1724</v>
      </c>
      <c r="G588" s="42" t="s">
        <v>1221</v>
      </c>
      <c r="H588" s="42">
        <v>2020</v>
      </c>
    </row>
    <row r="589" spans="1:8" x14ac:dyDescent="0.25">
      <c r="A589" s="270" t="s">
        <v>1516</v>
      </c>
      <c r="B589" s="179" t="s">
        <v>2482</v>
      </c>
      <c r="C589" s="49" t="s">
        <v>363</v>
      </c>
      <c r="D589" s="179" t="s">
        <v>899</v>
      </c>
      <c r="E589" s="179" t="s">
        <v>1659</v>
      </c>
      <c r="F589" s="143" t="s">
        <v>1724</v>
      </c>
      <c r="G589" s="143" t="s">
        <v>37</v>
      </c>
      <c r="H589" s="49">
        <v>2023</v>
      </c>
    </row>
    <row r="590" spans="1:8" x14ac:dyDescent="0.25">
      <c r="A590" s="261" t="s">
        <v>1517</v>
      </c>
      <c r="B590" s="47" t="s">
        <v>2482</v>
      </c>
      <c r="C590" s="50" t="s">
        <v>363</v>
      </c>
      <c r="D590" s="47" t="s">
        <v>899</v>
      </c>
      <c r="E590" s="47" t="s">
        <v>1659</v>
      </c>
      <c r="F590" s="50" t="s">
        <v>1724</v>
      </c>
      <c r="G590" s="50" t="s">
        <v>37</v>
      </c>
      <c r="H590" s="50">
        <v>2023</v>
      </c>
    </row>
    <row r="591" spans="1:8" x14ac:dyDescent="0.25">
      <c r="A591" s="271" t="s">
        <v>1515</v>
      </c>
      <c r="B591" s="172" t="s">
        <v>2482</v>
      </c>
      <c r="C591" s="137" t="s">
        <v>363</v>
      </c>
      <c r="D591" s="173" t="s">
        <v>899</v>
      </c>
      <c r="E591" s="185" t="s">
        <v>1659</v>
      </c>
      <c r="F591" s="149" t="s">
        <v>1724</v>
      </c>
      <c r="G591" s="137" t="s">
        <v>37</v>
      </c>
      <c r="H591" s="184">
        <v>2023</v>
      </c>
    </row>
    <row r="592" spans="1:8" x14ac:dyDescent="0.25">
      <c r="A592" s="270" t="s">
        <v>237</v>
      </c>
      <c r="B592" s="48" t="s">
        <v>2482</v>
      </c>
      <c r="C592" s="49" t="s">
        <v>363</v>
      </c>
      <c r="D592" s="170" t="s">
        <v>899</v>
      </c>
      <c r="E592" s="186" t="s">
        <v>1248</v>
      </c>
      <c r="F592" s="143" t="s">
        <v>1732</v>
      </c>
      <c r="G592" s="143" t="s">
        <v>24</v>
      </c>
      <c r="H592" s="143">
        <v>2021</v>
      </c>
    </row>
    <row r="593" spans="1:8" x14ac:dyDescent="0.25">
      <c r="A593" s="261" t="s">
        <v>236</v>
      </c>
      <c r="B593" s="47" t="s">
        <v>2482</v>
      </c>
      <c r="C593" s="50" t="s">
        <v>363</v>
      </c>
      <c r="D593" s="47" t="s">
        <v>899</v>
      </c>
      <c r="E593" s="47" t="s">
        <v>1248</v>
      </c>
      <c r="F593" s="50" t="s">
        <v>1732</v>
      </c>
      <c r="G593" s="50" t="s">
        <v>24</v>
      </c>
      <c r="H593" s="50">
        <v>2021</v>
      </c>
    </row>
    <row r="594" spans="1:8" x14ac:dyDescent="0.25">
      <c r="A594" s="260" t="s">
        <v>1536</v>
      </c>
      <c r="B594" s="48" t="s">
        <v>2483</v>
      </c>
      <c r="C594" s="49" t="s">
        <v>506</v>
      </c>
      <c r="D594" s="48" t="s">
        <v>899</v>
      </c>
      <c r="E594" s="48" t="s">
        <v>1255</v>
      </c>
      <c r="F594" s="49" t="s">
        <v>1724</v>
      </c>
      <c r="G594" s="49" t="s">
        <v>102</v>
      </c>
      <c r="H594" s="49">
        <v>2019</v>
      </c>
    </row>
    <row r="595" spans="1:8" x14ac:dyDescent="0.25">
      <c r="A595" s="260" t="s">
        <v>1537</v>
      </c>
      <c r="B595" s="48" t="s">
        <v>2483</v>
      </c>
      <c r="C595" s="49" t="s">
        <v>506</v>
      </c>
      <c r="D595" s="48" t="s">
        <v>899</v>
      </c>
      <c r="E595" s="187" t="s">
        <v>1255</v>
      </c>
      <c r="F595" s="49" t="s">
        <v>1724</v>
      </c>
      <c r="G595" s="49" t="s">
        <v>24</v>
      </c>
      <c r="H595" s="49">
        <v>2019</v>
      </c>
    </row>
    <row r="596" spans="1:8" x14ac:dyDescent="0.25">
      <c r="A596" s="274" t="s">
        <v>1538</v>
      </c>
      <c r="B596" s="48" t="s">
        <v>2483</v>
      </c>
      <c r="C596" s="49" t="s">
        <v>506</v>
      </c>
      <c r="D596" s="48" t="s">
        <v>899</v>
      </c>
      <c r="E596" s="48" t="s">
        <v>1255</v>
      </c>
      <c r="F596" s="141" t="s">
        <v>1724</v>
      </c>
      <c r="G596" s="49" t="s">
        <v>37</v>
      </c>
      <c r="H596" s="49">
        <v>2019</v>
      </c>
    </row>
    <row r="597" spans="1:8" x14ac:dyDescent="0.25">
      <c r="A597" s="275" t="s">
        <v>1539</v>
      </c>
      <c r="B597" s="56" t="s">
        <v>2483</v>
      </c>
      <c r="C597" s="60" t="s">
        <v>506</v>
      </c>
      <c r="D597" s="56" t="s">
        <v>899</v>
      </c>
      <c r="E597" s="56" t="s">
        <v>1255</v>
      </c>
      <c r="F597" s="60" t="s">
        <v>1724</v>
      </c>
      <c r="G597" s="60" t="s">
        <v>25</v>
      </c>
      <c r="H597" s="60">
        <v>2019</v>
      </c>
    </row>
    <row r="598" spans="1:8" x14ac:dyDescent="0.25">
      <c r="A598" s="276" t="s">
        <v>1540</v>
      </c>
      <c r="B598" s="56" t="s">
        <v>2483</v>
      </c>
      <c r="C598" s="60" t="s">
        <v>506</v>
      </c>
      <c r="D598" s="56" t="s">
        <v>899</v>
      </c>
      <c r="E598" s="56" t="s">
        <v>1255</v>
      </c>
      <c r="F598" s="60" t="s">
        <v>1724</v>
      </c>
      <c r="G598" s="60" t="s">
        <v>25</v>
      </c>
      <c r="H598" s="60">
        <v>2019</v>
      </c>
    </row>
    <row r="599" spans="1:8" x14ac:dyDescent="0.25">
      <c r="A599" s="277" t="s">
        <v>1257</v>
      </c>
      <c r="B599" s="181" t="s">
        <v>2483</v>
      </c>
      <c r="C599" s="144" t="s">
        <v>506</v>
      </c>
      <c r="D599" s="181" t="s">
        <v>899</v>
      </c>
      <c r="E599" s="181" t="s">
        <v>1255</v>
      </c>
      <c r="F599" s="144" t="s">
        <v>1724</v>
      </c>
      <c r="G599" s="144" t="s">
        <v>182</v>
      </c>
      <c r="H599" s="144">
        <v>2020</v>
      </c>
    </row>
    <row r="600" spans="1:8" x14ac:dyDescent="0.25">
      <c r="A600" s="260" t="s">
        <v>1874</v>
      </c>
      <c r="B600" s="48" t="s">
        <v>2483</v>
      </c>
      <c r="C600" s="49" t="s">
        <v>506</v>
      </c>
      <c r="D600" s="48" t="s">
        <v>899</v>
      </c>
      <c r="E600" s="187" t="s">
        <v>1255</v>
      </c>
      <c r="F600" s="49" t="s">
        <v>1724</v>
      </c>
      <c r="G600" s="49" t="s">
        <v>182</v>
      </c>
      <c r="H600" s="49">
        <v>2020</v>
      </c>
    </row>
    <row r="601" spans="1:8" x14ac:dyDescent="0.25">
      <c r="A601" s="278" t="s">
        <v>1543</v>
      </c>
      <c r="B601" s="48" t="s">
        <v>1055</v>
      </c>
      <c r="C601" s="49" t="s">
        <v>506</v>
      </c>
      <c r="D601" s="48" t="s">
        <v>899</v>
      </c>
      <c r="E601" s="187" t="s">
        <v>1664</v>
      </c>
      <c r="F601" s="49" t="s">
        <v>1786</v>
      </c>
      <c r="G601" s="49" t="s">
        <v>37</v>
      </c>
      <c r="H601" s="49">
        <v>2019</v>
      </c>
    </row>
    <row r="602" spans="1:8" x14ac:dyDescent="0.25">
      <c r="A602" s="279" t="s">
        <v>1542</v>
      </c>
      <c r="B602" s="47" t="s">
        <v>1055</v>
      </c>
      <c r="C602" s="50" t="s">
        <v>506</v>
      </c>
      <c r="D602" s="47" t="s">
        <v>899</v>
      </c>
      <c r="E602" s="59" t="s">
        <v>1664</v>
      </c>
      <c r="F602" s="50" t="s">
        <v>1786</v>
      </c>
      <c r="G602" s="50" t="s">
        <v>37</v>
      </c>
      <c r="H602" s="50">
        <v>2019</v>
      </c>
    </row>
    <row r="603" spans="1:8" x14ac:dyDescent="0.25">
      <c r="A603" s="261" t="s">
        <v>1541</v>
      </c>
      <c r="B603" s="47" t="s">
        <v>1055</v>
      </c>
      <c r="C603" s="50" t="s">
        <v>506</v>
      </c>
      <c r="D603" s="47" t="s">
        <v>899</v>
      </c>
      <c r="E603" s="59" t="s">
        <v>1664</v>
      </c>
      <c r="F603" s="50" t="s">
        <v>1786</v>
      </c>
      <c r="G603" s="50" t="s">
        <v>24</v>
      </c>
      <c r="H603" s="50">
        <v>2019</v>
      </c>
    </row>
    <row r="604" spans="1:8" x14ac:dyDescent="0.25">
      <c r="A604" s="277" t="s">
        <v>1878</v>
      </c>
      <c r="B604" s="172" t="s">
        <v>2484</v>
      </c>
      <c r="C604" s="137" t="s">
        <v>1807</v>
      </c>
      <c r="D604" s="173" t="s">
        <v>899</v>
      </c>
      <c r="E604" s="189" t="s">
        <v>1808</v>
      </c>
      <c r="F604" s="144" t="s">
        <v>1739</v>
      </c>
      <c r="G604" s="144" t="s">
        <v>182</v>
      </c>
      <c r="H604" s="144">
        <v>2024</v>
      </c>
    </row>
    <row r="605" spans="1:8" x14ac:dyDescent="0.25">
      <c r="A605" s="260" t="s">
        <v>1879</v>
      </c>
      <c r="B605" s="41" t="s">
        <v>2484</v>
      </c>
      <c r="C605" s="42" t="s">
        <v>1807</v>
      </c>
      <c r="D605" s="43" t="s">
        <v>899</v>
      </c>
      <c r="E605" s="59" t="s">
        <v>1808</v>
      </c>
      <c r="F605" s="55" t="s">
        <v>1739</v>
      </c>
      <c r="G605" s="42" t="s">
        <v>182</v>
      </c>
      <c r="H605" s="42">
        <v>2024</v>
      </c>
    </row>
    <row r="606" spans="1:8" x14ac:dyDescent="0.25">
      <c r="A606" s="175">
        <v>225376</v>
      </c>
      <c r="B606" s="41" t="s">
        <v>2485</v>
      </c>
      <c r="C606" s="42" t="s">
        <v>440</v>
      </c>
      <c r="D606" s="43" t="s">
        <v>899</v>
      </c>
      <c r="E606" s="187" t="s">
        <v>1236</v>
      </c>
      <c r="F606" s="55" t="s">
        <v>1725</v>
      </c>
      <c r="G606" s="127" t="s">
        <v>926</v>
      </c>
      <c r="H606" s="42">
        <v>2014</v>
      </c>
    </row>
    <row r="607" spans="1:8" x14ac:dyDescent="0.25">
      <c r="A607" s="280">
        <v>208487</v>
      </c>
      <c r="B607" s="48" t="s">
        <v>2486</v>
      </c>
      <c r="C607" s="49" t="s">
        <v>1031</v>
      </c>
      <c r="D607" s="48" t="s">
        <v>899</v>
      </c>
      <c r="E607" s="187" t="s">
        <v>1164</v>
      </c>
      <c r="F607" s="49" t="s">
        <v>1742</v>
      </c>
      <c r="G607" s="190" t="s">
        <v>926</v>
      </c>
      <c r="H607" s="49">
        <v>2015</v>
      </c>
    </row>
    <row r="608" spans="1:8" x14ac:dyDescent="0.25">
      <c r="A608" s="280">
        <v>225807</v>
      </c>
      <c r="B608" s="48" t="s">
        <v>2486</v>
      </c>
      <c r="C608" s="49" t="s">
        <v>1031</v>
      </c>
      <c r="D608" s="48" t="s">
        <v>899</v>
      </c>
      <c r="E608" s="187" t="s">
        <v>1164</v>
      </c>
      <c r="F608" s="49" t="s">
        <v>1742</v>
      </c>
      <c r="G608" s="190" t="s">
        <v>886</v>
      </c>
      <c r="H608" s="49">
        <v>2015</v>
      </c>
    </row>
    <row r="609" spans="1:8" x14ac:dyDescent="0.25">
      <c r="A609" s="280">
        <v>225808</v>
      </c>
      <c r="B609" s="48" t="s">
        <v>2486</v>
      </c>
      <c r="C609" s="49" t="s">
        <v>1031</v>
      </c>
      <c r="D609" s="48" t="s">
        <v>899</v>
      </c>
      <c r="E609" s="187" t="s">
        <v>1164</v>
      </c>
      <c r="F609" s="49" t="s">
        <v>1742</v>
      </c>
      <c r="G609" s="190" t="s">
        <v>886</v>
      </c>
      <c r="H609" s="49">
        <v>2015</v>
      </c>
    </row>
    <row r="610" spans="1:8" x14ac:dyDescent="0.25">
      <c r="A610" s="280" t="s">
        <v>1165</v>
      </c>
      <c r="B610" s="48" t="s">
        <v>2486</v>
      </c>
      <c r="C610" s="49" t="s">
        <v>1031</v>
      </c>
      <c r="D610" s="170" t="s">
        <v>899</v>
      </c>
      <c r="E610" s="171" t="s">
        <v>1164</v>
      </c>
      <c r="F610" s="141" t="s">
        <v>1742</v>
      </c>
      <c r="G610" s="190" t="s">
        <v>886</v>
      </c>
      <c r="H610" s="49">
        <v>2016</v>
      </c>
    </row>
    <row r="611" spans="1:8" x14ac:dyDescent="0.25">
      <c r="A611" s="281" t="s">
        <v>199</v>
      </c>
      <c r="B611" s="191" t="s">
        <v>2487</v>
      </c>
      <c r="C611" s="147" t="s">
        <v>429</v>
      </c>
      <c r="D611" s="156" t="s">
        <v>899</v>
      </c>
      <c r="E611" s="192" t="s">
        <v>1159</v>
      </c>
      <c r="F611" s="147" t="s">
        <v>1732</v>
      </c>
      <c r="G611" s="147" t="s">
        <v>182</v>
      </c>
      <c r="H611" s="147">
        <v>2020</v>
      </c>
    </row>
    <row r="612" spans="1:8" x14ac:dyDescent="0.25">
      <c r="A612" s="282" t="s">
        <v>1543</v>
      </c>
      <c r="B612" s="188" t="s">
        <v>113</v>
      </c>
      <c r="C612" s="50" t="s">
        <v>448</v>
      </c>
      <c r="D612" s="47" t="s">
        <v>899</v>
      </c>
      <c r="E612" s="193" t="s">
        <v>1153</v>
      </c>
      <c r="F612" s="148" t="s">
        <v>1786</v>
      </c>
      <c r="G612" s="148" t="s">
        <v>37</v>
      </c>
      <c r="H612" s="194">
        <v>2019</v>
      </c>
    </row>
    <row r="613" spans="1:8" x14ac:dyDescent="0.25">
      <c r="A613" s="279">
        <v>221324</v>
      </c>
      <c r="B613" s="41" t="s">
        <v>2488</v>
      </c>
      <c r="C613" s="137" t="s">
        <v>443</v>
      </c>
      <c r="D613" s="173" t="s">
        <v>899</v>
      </c>
      <c r="E613" s="158" t="s">
        <v>1151</v>
      </c>
      <c r="F613" s="42" t="s">
        <v>1732</v>
      </c>
      <c r="G613" s="142" t="s">
        <v>1824</v>
      </c>
      <c r="H613" s="42">
        <v>1999</v>
      </c>
    </row>
    <row r="614" spans="1:8" x14ac:dyDescent="0.25">
      <c r="A614" s="273" t="s">
        <v>238</v>
      </c>
      <c r="B614" s="41" t="s">
        <v>2488</v>
      </c>
      <c r="C614" s="42" t="s">
        <v>443</v>
      </c>
      <c r="D614" s="43" t="s">
        <v>899</v>
      </c>
      <c r="E614" s="41" t="s">
        <v>1151</v>
      </c>
      <c r="F614" s="55" t="s">
        <v>1732</v>
      </c>
      <c r="G614" s="42" t="s">
        <v>24</v>
      </c>
      <c r="H614" s="42">
        <v>2021</v>
      </c>
    </row>
    <row r="615" spans="1:8" x14ac:dyDescent="0.25">
      <c r="A615" s="279">
        <v>229757</v>
      </c>
      <c r="B615" s="41" t="s">
        <v>1756</v>
      </c>
      <c r="C615" s="42" t="s">
        <v>1757</v>
      </c>
      <c r="D615" s="43" t="s">
        <v>2607</v>
      </c>
      <c r="E615" s="41" t="s">
        <v>2560</v>
      </c>
      <c r="F615" s="55" t="s">
        <v>1725</v>
      </c>
      <c r="G615" s="42" t="s">
        <v>926</v>
      </c>
      <c r="H615" s="42">
        <v>2017</v>
      </c>
    </row>
    <row r="616" spans="1:8" x14ac:dyDescent="0.25">
      <c r="A616" s="279" t="s">
        <v>1508</v>
      </c>
      <c r="B616" s="41" t="s">
        <v>1445</v>
      </c>
      <c r="C616" s="42" t="s">
        <v>1595</v>
      </c>
      <c r="D616" s="43" t="s">
        <v>2608</v>
      </c>
      <c r="E616" s="41" t="s">
        <v>1652</v>
      </c>
      <c r="F616" s="42" t="s">
        <v>1725</v>
      </c>
      <c r="G616" s="142" t="s">
        <v>260</v>
      </c>
      <c r="H616" s="42">
        <v>2023</v>
      </c>
    </row>
    <row r="617" spans="1:8" x14ac:dyDescent="0.25">
      <c r="A617" s="279" t="s">
        <v>1937</v>
      </c>
      <c r="B617" s="41" t="s">
        <v>1941</v>
      </c>
      <c r="C617" s="42">
        <v>20608170732</v>
      </c>
      <c r="D617" s="43" t="s">
        <v>1944</v>
      </c>
      <c r="E617" s="158" t="s">
        <v>1955</v>
      </c>
      <c r="F617" s="42" t="s">
        <v>1786</v>
      </c>
      <c r="G617" s="142" t="s">
        <v>24</v>
      </c>
      <c r="H617" s="42">
        <v>2025</v>
      </c>
    </row>
    <row r="618" spans="1:8" x14ac:dyDescent="0.25">
      <c r="A618" s="279" t="s">
        <v>1962</v>
      </c>
      <c r="B618" s="41" t="s">
        <v>2489</v>
      </c>
      <c r="C618" s="42">
        <v>20621688734</v>
      </c>
      <c r="D618" s="43" t="s">
        <v>1944</v>
      </c>
      <c r="E618" s="158" t="s">
        <v>1975</v>
      </c>
      <c r="F618" s="42" t="s">
        <v>1786</v>
      </c>
      <c r="G618" s="142" t="s">
        <v>24</v>
      </c>
      <c r="H618" s="42">
        <v>2025</v>
      </c>
    </row>
    <row r="619" spans="1:8" x14ac:dyDescent="0.25">
      <c r="A619" s="279" t="s">
        <v>1963</v>
      </c>
      <c r="B619" s="41" t="s">
        <v>2490</v>
      </c>
      <c r="C619" s="42">
        <v>20621688735</v>
      </c>
      <c r="D619" s="43" t="s">
        <v>1944</v>
      </c>
      <c r="E619" s="59" t="s">
        <v>1976</v>
      </c>
      <c r="F619" s="42" t="s">
        <v>1786</v>
      </c>
      <c r="G619" s="142" t="s">
        <v>24</v>
      </c>
      <c r="H619" s="42">
        <v>2025</v>
      </c>
    </row>
    <row r="620" spans="1:8" x14ac:dyDescent="0.25">
      <c r="A620" s="279" t="s">
        <v>1476</v>
      </c>
      <c r="B620" s="41" t="s">
        <v>1434</v>
      </c>
      <c r="C620" s="42" t="s">
        <v>1584</v>
      </c>
      <c r="D620" s="43" t="s">
        <v>2609</v>
      </c>
      <c r="E620" s="59" t="s">
        <v>1632</v>
      </c>
      <c r="F620" s="55" t="s">
        <v>1725</v>
      </c>
      <c r="G620" s="42" t="s">
        <v>24</v>
      </c>
      <c r="H620" s="42">
        <v>2023</v>
      </c>
    </row>
    <row r="621" spans="1:8" x14ac:dyDescent="0.25">
      <c r="A621" s="279" t="s">
        <v>1873</v>
      </c>
      <c r="B621" s="41" t="s">
        <v>1797</v>
      </c>
      <c r="C621" s="42" t="s">
        <v>1798</v>
      </c>
      <c r="D621" s="43" t="s">
        <v>924</v>
      </c>
      <c r="E621" s="47" t="s">
        <v>1800</v>
      </c>
      <c r="F621" s="42" t="s">
        <v>1764</v>
      </c>
      <c r="G621" s="142" t="s">
        <v>1680</v>
      </c>
      <c r="H621" s="42">
        <v>2025</v>
      </c>
    </row>
    <row r="622" spans="1:8" x14ac:dyDescent="0.25">
      <c r="A622" s="257">
        <v>224465</v>
      </c>
      <c r="B622" s="41" t="s">
        <v>123</v>
      </c>
      <c r="C622" s="42" t="s">
        <v>460</v>
      </c>
      <c r="D622" s="43" t="s">
        <v>924</v>
      </c>
      <c r="E622" s="47" t="s">
        <v>1126</v>
      </c>
      <c r="F622" s="55" t="s">
        <v>1828</v>
      </c>
      <c r="G622" s="42" t="s">
        <v>926</v>
      </c>
      <c r="H622" s="42">
        <v>2014</v>
      </c>
    </row>
    <row r="623" spans="1:8" x14ac:dyDescent="0.25">
      <c r="A623" s="257">
        <v>211742</v>
      </c>
      <c r="B623" s="41" t="s">
        <v>86</v>
      </c>
      <c r="C623" s="42" t="s">
        <v>414</v>
      </c>
      <c r="D623" s="43" t="s">
        <v>924</v>
      </c>
      <c r="E623" s="41"/>
      <c r="F623" s="55" t="s">
        <v>1732</v>
      </c>
      <c r="G623" s="42" t="s">
        <v>926</v>
      </c>
      <c r="H623" s="42">
        <v>2009</v>
      </c>
    </row>
    <row r="624" spans="1:8" x14ac:dyDescent="0.25">
      <c r="A624" s="260">
        <v>224323</v>
      </c>
      <c r="B624" s="41" t="s">
        <v>51</v>
      </c>
      <c r="C624" s="42" t="s">
        <v>375</v>
      </c>
      <c r="D624" s="43" t="s">
        <v>924</v>
      </c>
      <c r="E624" s="47" t="s">
        <v>1377</v>
      </c>
      <c r="F624" s="55" t="s">
        <v>1732</v>
      </c>
      <c r="G624" s="42" t="s">
        <v>927</v>
      </c>
      <c r="H624" s="42">
        <v>2014</v>
      </c>
    </row>
    <row r="625" spans="1:8" x14ac:dyDescent="0.25">
      <c r="A625" s="261">
        <v>224325</v>
      </c>
      <c r="B625" s="41" t="s">
        <v>51</v>
      </c>
      <c r="C625" s="42" t="s">
        <v>375</v>
      </c>
      <c r="D625" s="43" t="s">
        <v>924</v>
      </c>
      <c r="E625" s="47" t="s">
        <v>1377</v>
      </c>
      <c r="F625" s="55" t="s">
        <v>1732</v>
      </c>
      <c r="G625" s="42" t="s">
        <v>927</v>
      </c>
      <c r="H625" s="142">
        <v>2014</v>
      </c>
    </row>
    <row r="626" spans="1:8" x14ac:dyDescent="0.25">
      <c r="A626" s="261">
        <v>224326</v>
      </c>
      <c r="B626" s="41" t="s">
        <v>51</v>
      </c>
      <c r="C626" s="42" t="s">
        <v>375</v>
      </c>
      <c r="D626" s="43" t="s">
        <v>924</v>
      </c>
      <c r="E626" s="47" t="s">
        <v>1377</v>
      </c>
      <c r="F626" s="55" t="s">
        <v>1732</v>
      </c>
      <c r="G626" s="42" t="s">
        <v>927</v>
      </c>
      <c r="H626" s="142">
        <v>2014</v>
      </c>
    </row>
    <row r="627" spans="1:8" x14ac:dyDescent="0.25">
      <c r="A627" s="283" t="s">
        <v>2020</v>
      </c>
      <c r="B627" s="41" t="s">
        <v>2029</v>
      </c>
      <c r="C627" s="42" t="s">
        <v>2030</v>
      </c>
      <c r="D627" s="43" t="s">
        <v>924</v>
      </c>
      <c r="E627" s="41" t="s">
        <v>2561</v>
      </c>
      <c r="F627" s="55" t="s">
        <v>1724</v>
      </c>
      <c r="G627" s="42" t="s">
        <v>260</v>
      </c>
      <c r="H627" s="142">
        <v>2025</v>
      </c>
    </row>
    <row r="628" spans="1:8" x14ac:dyDescent="0.25">
      <c r="A628" s="261" t="s">
        <v>2021</v>
      </c>
      <c r="B628" s="41" t="s">
        <v>2029</v>
      </c>
      <c r="C628" s="42" t="s">
        <v>2030</v>
      </c>
      <c r="D628" s="43" t="s">
        <v>924</v>
      </c>
      <c r="E628" s="158" t="s">
        <v>2561</v>
      </c>
      <c r="F628" s="55" t="s">
        <v>1724</v>
      </c>
      <c r="G628" s="42" t="s">
        <v>260</v>
      </c>
      <c r="H628" s="142">
        <v>2025</v>
      </c>
    </row>
    <row r="629" spans="1:8" x14ac:dyDescent="0.25">
      <c r="A629" s="261" t="s">
        <v>1520</v>
      </c>
      <c r="B629" s="41" t="s">
        <v>1447</v>
      </c>
      <c r="C629" s="42" t="s">
        <v>1598</v>
      </c>
      <c r="D629" s="43" t="s">
        <v>924</v>
      </c>
      <c r="E629" s="158" t="s">
        <v>1660</v>
      </c>
      <c r="F629" s="55" t="s">
        <v>1732</v>
      </c>
      <c r="G629" s="42" t="s">
        <v>24</v>
      </c>
      <c r="H629" s="142">
        <v>2022</v>
      </c>
    </row>
    <row r="630" spans="1:8" x14ac:dyDescent="0.25">
      <c r="A630" s="257" t="s">
        <v>242</v>
      </c>
      <c r="B630" s="48" t="s">
        <v>933</v>
      </c>
      <c r="C630" s="42" t="s">
        <v>934</v>
      </c>
      <c r="D630" s="43" t="s">
        <v>924</v>
      </c>
      <c r="E630" s="41" t="s">
        <v>1791</v>
      </c>
      <c r="F630" s="55" t="s">
        <v>1783</v>
      </c>
      <c r="G630" s="42" t="s">
        <v>37</v>
      </c>
      <c r="H630" s="42">
        <v>2021</v>
      </c>
    </row>
    <row r="631" spans="1:8" x14ac:dyDescent="0.25">
      <c r="A631" s="261">
        <v>215181</v>
      </c>
      <c r="B631" s="47" t="s">
        <v>109</v>
      </c>
      <c r="C631" s="141" t="s">
        <v>444</v>
      </c>
      <c r="D631" s="48" t="s">
        <v>924</v>
      </c>
      <c r="E631" s="47" t="s">
        <v>1166</v>
      </c>
      <c r="F631" s="50" t="s">
        <v>1732</v>
      </c>
      <c r="G631" s="50" t="s">
        <v>927</v>
      </c>
      <c r="H631" s="146">
        <v>2009</v>
      </c>
    </row>
    <row r="632" spans="1:8" x14ac:dyDescent="0.25">
      <c r="A632" s="261">
        <v>231413</v>
      </c>
      <c r="B632" s="41" t="s">
        <v>109</v>
      </c>
      <c r="C632" s="49" t="s">
        <v>1603</v>
      </c>
      <c r="D632" s="48" t="s">
        <v>924</v>
      </c>
      <c r="E632" s="47" t="s">
        <v>1166</v>
      </c>
      <c r="F632" s="50" t="s">
        <v>1732</v>
      </c>
      <c r="G632" s="50" t="s">
        <v>927</v>
      </c>
      <c r="H632" s="146">
        <v>2018</v>
      </c>
    </row>
    <row r="633" spans="1:8" x14ac:dyDescent="0.25">
      <c r="A633" s="261">
        <v>228007</v>
      </c>
      <c r="B633" s="48" t="s">
        <v>149</v>
      </c>
      <c r="C633" s="49" t="s">
        <v>484</v>
      </c>
      <c r="D633" s="48" t="s">
        <v>924</v>
      </c>
      <c r="E633" s="47" t="s">
        <v>1118</v>
      </c>
      <c r="F633" s="50" t="s">
        <v>1745</v>
      </c>
      <c r="G633" s="50" t="s">
        <v>926</v>
      </c>
      <c r="H633" s="146">
        <v>2016</v>
      </c>
    </row>
    <row r="634" spans="1:8" x14ac:dyDescent="0.25">
      <c r="A634" s="261">
        <v>228261</v>
      </c>
      <c r="B634" s="41" t="s">
        <v>149</v>
      </c>
      <c r="C634" s="49" t="s">
        <v>484</v>
      </c>
      <c r="D634" s="48" t="s">
        <v>924</v>
      </c>
      <c r="E634" s="179" t="s">
        <v>1118</v>
      </c>
      <c r="F634" s="143" t="s">
        <v>1745</v>
      </c>
      <c r="G634" s="143" t="s">
        <v>926</v>
      </c>
      <c r="H634" s="195">
        <v>2016</v>
      </c>
    </row>
    <row r="635" spans="1:8" x14ac:dyDescent="0.25">
      <c r="A635" s="283" t="s">
        <v>1260</v>
      </c>
      <c r="B635" s="47" t="s">
        <v>1426</v>
      </c>
      <c r="C635" s="50" t="s">
        <v>1573</v>
      </c>
      <c r="D635" s="47" t="s">
        <v>890</v>
      </c>
      <c r="E635" s="47" t="s">
        <v>1613</v>
      </c>
      <c r="F635" s="50" t="s">
        <v>1731</v>
      </c>
      <c r="G635" s="50" t="s">
        <v>24</v>
      </c>
      <c r="H635" s="50">
        <v>2023</v>
      </c>
    </row>
    <row r="636" spans="1:8" x14ac:dyDescent="0.25">
      <c r="A636" s="261">
        <v>229759</v>
      </c>
      <c r="B636" s="47" t="s">
        <v>47</v>
      </c>
      <c r="C636" s="50" t="s">
        <v>371</v>
      </c>
      <c r="D636" s="47" t="s">
        <v>890</v>
      </c>
      <c r="E636" s="47" t="s">
        <v>1412</v>
      </c>
      <c r="F636" s="50" t="s">
        <v>1732</v>
      </c>
      <c r="G636" s="50" t="s">
        <v>926</v>
      </c>
      <c r="H636" s="50">
        <v>2017</v>
      </c>
    </row>
    <row r="637" spans="1:8" x14ac:dyDescent="0.25">
      <c r="A637" s="283">
        <v>229762</v>
      </c>
      <c r="B637" s="172" t="s">
        <v>47</v>
      </c>
      <c r="C637" s="137" t="s">
        <v>371</v>
      </c>
      <c r="D637" s="173" t="s">
        <v>890</v>
      </c>
      <c r="E637" s="193" t="s">
        <v>1412</v>
      </c>
      <c r="F637" s="149" t="s">
        <v>1732</v>
      </c>
      <c r="G637" s="148" t="s">
        <v>927</v>
      </c>
      <c r="H637" s="148">
        <v>2018</v>
      </c>
    </row>
    <row r="638" spans="1:8" x14ac:dyDescent="0.25">
      <c r="A638" s="261" t="s">
        <v>1466</v>
      </c>
      <c r="B638" s="41" t="s">
        <v>1431</v>
      </c>
      <c r="C638" s="42" t="s">
        <v>1579</v>
      </c>
      <c r="D638" s="43" t="s">
        <v>890</v>
      </c>
      <c r="E638" s="47" t="s">
        <v>1623</v>
      </c>
      <c r="F638" s="196" t="s">
        <v>1731</v>
      </c>
      <c r="G638" s="50" t="s">
        <v>24</v>
      </c>
      <c r="H638" s="50">
        <v>2023</v>
      </c>
    </row>
    <row r="639" spans="1:8" x14ac:dyDescent="0.25">
      <c r="A639" s="261">
        <v>231054</v>
      </c>
      <c r="B639" s="47" t="s">
        <v>146</v>
      </c>
      <c r="C639" s="50" t="s">
        <v>481</v>
      </c>
      <c r="D639" s="47" t="s">
        <v>890</v>
      </c>
      <c r="E639" s="47" t="s">
        <v>1363</v>
      </c>
      <c r="F639" s="50" t="s">
        <v>1725</v>
      </c>
      <c r="G639" s="50" t="s">
        <v>926</v>
      </c>
      <c r="H639" s="50">
        <v>2018</v>
      </c>
    </row>
    <row r="640" spans="1:8" x14ac:dyDescent="0.25">
      <c r="A640" s="261" t="s">
        <v>1926</v>
      </c>
      <c r="B640" s="47" t="s">
        <v>1067</v>
      </c>
      <c r="C640" s="50" t="s">
        <v>1068</v>
      </c>
      <c r="D640" s="47" t="s">
        <v>890</v>
      </c>
      <c r="E640" s="47" t="s">
        <v>1312</v>
      </c>
      <c r="F640" s="50" t="s">
        <v>1764</v>
      </c>
      <c r="G640" s="50" t="s">
        <v>885</v>
      </c>
      <c r="H640" s="50">
        <v>2022</v>
      </c>
    </row>
    <row r="641" spans="1:8" x14ac:dyDescent="0.25">
      <c r="A641" s="261" t="s">
        <v>1927</v>
      </c>
      <c r="B641" s="47" t="s">
        <v>1067</v>
      </c>
      <c r="C641" s="50" t="s">
        <v>1068</v>
      </c>
      <c r="D641" s="47" t="s">
        <v>890</v>
      </c>
      <c r="E641" s="47" t="s">
        <v>1312</v>
      </c>
      <c r="F641" s="50" t="s">
        <v>1764</v>
      </c>
      <c r="G641" s="50" t="s">
        <v>885</v>
      </c>
      <c r="H641" s="50">
        <v>2022</v>
      </c>
    </row>
    <row r="642" spans="1:8" x14ac:dyDescent="0.25">
      <c r="A642" s="261">
        <v>229286</v>
      </c>
      <c r="B642" s="47" t="s">
        <v>165</v>
      </c>
      <c r="C642" s="50" t="s">
        <v>495</v>
      </c>
      <c r="D642" s="47" t="s">
        <v>890</v>
      </c>
      <c r="E642" s="47" t="s">
        <v>1146</v>
      </c>
      <c r="F642" s="50" t="s">
        <v>1725</v>
      </c>
      <c r="G642" s="50" t="s">
        <v>926</v>
      </c>
      <c r="H642" s="50">
        <v>2017</v>
      </c>
    </row>
    <row r="643" spans="1:8" x14ac:dyDescent="0.25">
      <c r="A643" s="261">
        <v>228564</v>
      </c>
      <c r="B643" s="47" t="s">
        <v>96</v>
      </c>
      <c r="C643" s="50" t="s">
        <v>428</v>
      </c>
      <c r="D643" s="47" t="s">
        <v>890</v>
      </c>
      <c r="E643" s="59" t="s">
        <v>1139</v>
      </c>
      <c r="F643" s="50" t="s">
        <v>1828</v>
      </c>
      <c r="G643" s="50" t="s">
        <v>926</v>
      </c>
      <c r="H643" s="50">
        <v>2017</v>
      </c>
    </row>
    <row r="644" spans="1:8" x14ac:dyDescent="0.25">
      <c r="A644" s="284" t="s">
        <v>1966</v>
      </c>
      <c r="B644" s="56" t="s">
        <v>116</v>
      </c>
      <c r="C644" s="60" t="s">
        <v>451</v>
      </c>
      <c r="D644" s="56" t="s">
        <v>890</v>
      </c>
      <c r="E644" s="56"/>
      <c r="F644" s="60" t="s">
        <v>1828</v>
      </c>
      <c r="G644" s="60" t="s">
        <v>926</v>
      </c>
      <c r="H644" s="60">
        <v>2015</v>
      </c>
    </row>
    <row r="645" spans="1:8" x14ac:dyDescent="0.25">
      <c r="A645" s="285" t="s">
        <v>1966</v>
      </c>
      <c r="B645" s="48" t="s">
        <v>116</v>
      </c>
      <c r="C645" s="49" t="s">
        <v>451</v>
      </c>
      <c r="D645" s="170" t="s">
        <v>890</v>
      </c>
      <c r="E645" s="171"/>
      <c r="F645" s="141" t="s">
        <v>1829</v>
      </c>
      <c r="G645" s="49" t="s">
        <v>926</v>
      </c>
      <c r="H645" s="143">
        <v>2015</v>
      </c>
    </row>
    <row r="646" spans="1:8" x14ac:dyDescent="0.25">
      <c r="A646" s="261" t="s">
        <v>1895</v>
      </c>
      <c r="B646" s="47" t="s">
        <v>1107</v>
      </c>
      <c r="C646" s="50" t="s">
        <v>1108</v>
      </c>
      <c r="D646" s="47" t="s">
        <v>890</v>
      </c>
      <c r="E646" s="59" t="s">
        <v>1418</v>
      </c>
      <c r="F646" s="50" t="s">
        <v>1764</v>
      </c>
      <c r="G646" s="50" t="s">
        <v>885</v>
      </c>
      <c r="H646" s="50">
        <v>2022</v>
      </c>
    </row>
    <row r="647" spans="1:8" x14ac:dyDescent="0.25">
      <c r="A647" s="261" t="s">
        <v>1966</v>
      </c>
      <c r="B647" s="47" t="s">
        <v>117</v>
      </c>
      <c r="C647" s="50" t="s">
        <v>453</v>
      </c>
      <c r="D647" s="47" t="s">
        <v>890</v>
      </c>
      <c r="E647" s="59" t="s">
        <v>1133</v>
      </c>
      <c r="F647" s="50" t="s">
        <v>1828</v>
      </c>
      <c r="G647" s="50" t="s">
        <v>1112</v>
      </c>
      <c r="H647" s="50">
        <v>2011</v>
      </c>
    </row>
    <row r="648" spans="1:8" x14ac:dyDescent="0.25">
      <c r="A648" s="261">
        <v>221758</v>
      </c>
      <c r="B648" s="47" t="s">
        <v>90</v>
      </c>
      <c r="C648" s="50" t="s">
        <v>418</v>
      </c>
      <c r="D648" s="47" t="s">
        <v>890</v>
      </c>
      <c r="E648" s="47" t="s">
        <v>1132</v>
      </c>
      <c r="F648" s="50" t="s">
        <v>1828</v>
      </c>
      <c r="G648" s="50" t="s">
        <v>1112</v>
      </c>
      <c r="H648" s="50">
        <v>2012</v>
      </c>
    </row>
    <row r="649" spans="1:8" x14ac:dyDescent="0.25">
      <c r="A649" s="261" t="s">
        <v>191</v>
      </c>
      <c r="B649" s="41" t="s">
        <v>190</v>
      </c>
      <c r="C649" s="50" t="s">
        <v>525</v>
      </c>
      <c r="D649" s="47" t="s">
        <v>890</v>
      </c>
      <c r="E649" s="47" t="s">
        <v>1127</v>
      </c>
      <c r="F649" s="50" t="s">
        <v>1828</v>
      </c>
      <c r="G649" s="50" t="s">
        <v>24</v>
      </c>
      <c r="H649" s="50">
        <v>2020</v>
      </c>
    </row>
    <row r="650" spans="1:8" x14ac:dyDescent="0.25">
      <c r="A650" s="261">
        <v>225777</v>
      </c>
      <c r="B650" s="47" t="s">
        <v>147</v>
      </c>
      <c r="C650" s="50" t="s">
        <v>482</v>
      </c>
      <c r="D650" s="47" t="s">
        <v>890</v>
      </c>
      <c r="E650" s="59" t="s">
        <v>1123</v>
      </c>
      <c r="F650" s="50" t="s">
        <v>1828</v>
      </c>
      <c r="G650" s="50" t="s">
        <v>926</v>
      </c>
      <c r="H650" s="50">
        <v>2015</v>
      </c>
    </row>
    <row r="651" spans="1:8" x14ac:dyDescent="0.25">
      <c r="A651" s="261">
        <v>215789</v>
      </c>
      <c r="B651" s="47" t="s">
        <v>2491</v>
      </c>
      <c r="C651" s="50" t="s">
        <v>365</v>
      </c>
      <c r="D651" s="47" t="s">
        <v>2610</v>
      </c>
      <c r="E651" s="47"/>
      <c r="F651" s="50" t="s">
        <v>1785</v>
      </c>
      <c r="G651" s="50" t="s">
        <v>1120</v>
      </c>
      <c r="H651" s="50">
        <v>2011</v>
      </c>
    </row>
    <row r="652" spans="1:8" x14ac:dyDescent="0.25">
      <c r="A652" s="261">
        <v>219080</v>
      </c>
      <c r="B652" s="47" t="s">
        <v>2491</v>
      </c>
      <c r="C652" s="50" t="s">
        <v>365</v>
      </c>
      <c r="D652" s="47" t="s">
        <v>2610</v>
      </c>
      <c r="E652" s="47"/>
      <c r="F652" s="50" t="s">
        <v>1785</v>
      </c>
      <c r="G652" s="50" t="s">
        <v>1243</v>
      </c>
      <c r="H652" s="50">
        <v>2011</v>
      </c>
    </row>
    <row r="653" spans="1:8" x14ac:dyDescent="0.25">
      <c r="A653" s="261" t="s">
        <v>1966</v>
      </c>
      <c r="B653" s="47" t="s">
        <v>2492</v>
      </c>
      <c r="C653" s="50" t="s">
        <v>372</v>
      </c>
      <c r="D653" s="47" t="s">
        <v>2610</v>
      </c>
      <c r="E653" s="47"/>
      <c r="F653" s="50" t="s">
        <v>1780</v>
      </c>
      <c r="G653" s="50" t="s">
        <v>1398</v>
      </c>
      <c r="H653" s="50">
        <v>2011</v>
      </c>
    </row>
    <row r="654" spans="1:8" x14ac:dyDescent="0.25">
      <c r="A654" s="261">
        <v>233070</v>
      </c>
      <c r="B654" s="47" t="s">
        <v>2493</v>
      </c>
      <c r="C654" s="50" t="s">
        <v>564</v>
      </c>
      <c r="D654" s="47" t="s">
        <v>2610</v>
      </c>
      <c r="E654" s="59" t="s">
        <v>1653</v>
      </c>
      <c r="F654" s="50" t="s">
        <v>1780</v>
      </c>
      <c r="G654" s="50" t="s">
        <v>201</v>
      </c>
      <c r="H654" s="50">
        <v>2018</v>
      </c>
    </row>
    <row r="655" spans="1:8" x14ac:dyDescent="0.25">
      <c r="A655" s="261">
        <v>233077</v>
      </c>
      <c r="B655" s="47" t="s">
        <v>2494</v>
      </c>
      <c r="C655" s="50" t="s">
        <v>407</v>
      </c>
      <c r="D655" s="47" t="s">
        <v>2610</v>
      </c>
      <c r="E655" s="47"/>
      <c r="F655" s="50" t="s">
        <v>1780</v>
      </c>
      <c r="G655" s="50" t="s">
        <v>201</v>
      </c>
      <c r="H655" s="50">
        <v>2020</v>
      </c>
    </row>
    <row r="656" spans="1:8" x14ac:dyDescent="0.25">
      <c r="A656" s="261" t="s">
        <v>1511</v>
      </c>
      <c r="B656" s="47" t="s">
        <v>2495</v>
      </c>
      <c r="C656" s="50" t="s">
        <v>938</v>
      </c>
      <c r="D656" s="47" t="s">
        <v>2610</v>
      </c>
      <c r="E656" s="47" t="s">
        <v>1314</v>
      </c>
      <c r="F656" s="50" t="s">
        <v>1781</v>
      </c>
      <c r="G656" s="50" t="s">
        <v>24</v>
      </c>
      <c r="H656" s="50">
        <v>2020</v>
      </c>
    </row>
    <row r="657" spans="1:8" x14ac:dyDescent="0.25">
      <c r="A657" s="274" t="s">
        <v>1512</v>
      </c>
      <c r="B657" s="41" t="s">
        <v>2495</v>
      </c>
      <c r="C657" s="143" t="s">
        <v>938</v>
      </c>
      <c r="D657" s="179" t="s">
        <v>2610</v>
      </c>
      <c r="E657" s="171" t="s">
        <v>1655</v>
      </c>
      <c r="F657" s="143" t="s">
        <v>1781</v>
      </c>
      <c r="G657" s="143" t="s">
        <v>24</v>
      </c>
      <c r="H657" s="143">
        <v>2023</v>
      </c>
    </row>
    <row r="658" spans="1:8" x14ac:dyDescent="0.25">
      <c r="A658" s="261">
        <v>235257</v>
      </c>
      <c r="B658" s="47" t="s">
        <v>2496</v>
      </c>
      <c r="C658" s="50" t="s">
        <v>564</v>
      </c>
      <c r="D658" s="47" t="s">
        <v>2610</v>
      </c>
      <c r="E658" s="59" t="s">
        <v>1316</v>
      </c>
      <c r="F658" s="50" t="s">
        <v>1780</v>
      </c>
      <c r="G658" s="50" t="s">
        <v>201</v>
      </c>
      <c r="H658" s="50">
        <v>2021</v>
      </c>
    </row>
    <row r="659" spans="1:8" x14ac:dyDescent="0.25">
      <c r="A659" s="261">
        <v>233189</v>
      </c>
      <c r="B659" s="163" t="s">
        <v>2497</v>
      </c>
      <c r="C659" s="197" t="s">
        <v>564</v>
      </c>
      <c r="D659" s="198" t="s">
        <v>2610</v>
      </c>
      <c r="E659" s="47" t="s">
        <v>1315</v>
      </c>
      <c r="F659" s="50" t="s">
        <v>1780</v>
      </c>
      <c r="G659" s="50" t="s">
        <v>201</v>
      </c>
      <c r="H659" s="50">
        <v>2021</v>
      </c>
    </row>
    <row r="660" spans="1:8" x14ac:dyDescent="0.25">
      <c r="A660" s="261">
        <v>221390</v>
      </c>
      <c r="B660" s="198" t="s">
        <v>46</v>
      </c>
      <c r="C660" s="197" t="s">
        <v>368</v>
      </c>
      <c r="D660" s="198" t="s">
        <v>2610</v>
      </c>
      <c r="E660" s="47"/>
      <c r="F660" s="55" t="s">
        <v>1785</v>
      </c>
      <c r="G660" s="42" t="s">
        <v>1235</v>
      </c>
      <c r="H660" s="50">
        <v>2012</v>
      </c>
    </row>
    <row r="661" spans="1:8" x14ac:dyDescent="0.25">
      <c r="A661" s="261">
        <v>233190</v>
      </c>
      <c r="B661" s="198" t="s">
        <v>2498</v>
      </c>
      <c r="C661" s="197" t="s">
        <v>564</v>
      </c>
      <c r="D661" s="198" t="s">
        <v>2610</v>
      </c>
      <c r="E661" s="47" t="s">
        <v>1293</v>
      </c>
      <c r="F661" s="55" t="s">
        <v>1780</v>
      </c>
      <c r="G661" s="50" t="s">
        <v>201</v>
      </c>
      <c r="H661" s="50">
        <v>2021</v>
      </c>
    </row>
    <row r="662" spans="1:8" x14ac:dyDescent="0.25">
      <c r="A662" s="261">
        <v>231036</v>
      </c>
      <c r="B662" s="198" t="s">
        <v>2499</v>
      </c>
      <c r="C662" s="197" t="s">
        <v>407</v>
      </c>
      <c r="D662" s="198" t="s">
        <v>2610</v>
      </c>
      <c r="E662" s="47"/>
      <c r="F662" s="55" t="s">
        <v>1780</v>
      </c>
      <c r="G662" s="42" t="s">
        <v>1292</v>
      </c>
      <c r="H662" s="50">
        <v>2018</v>
      </c>
    </row>
    <row r="663" spans="1:8" x14ac:dyDescent="0.25">
      <c r="A663" s="274">
        <v>233069</v>
      </c>
      <c r="B663" s="179" t="s">
        <v>2500</v>
      </c>
      <c r="C663" s="143" t="s">
        <v>407</v>
      </c>
      <c r="D663" s="179" t="s">
        <v>2610</v>
      </c>
      <c r="E663" s="171"/>
      <c r="F663" s="141" t="s">
        <v>1780</v>
      </c>
      <c r="G663" s="49" t="s">
        <v>201</v>
      </c>
      <c r="H663" s="143">
        <v>2020</v>
      </c>
    </row>
    <row r="664" spans="1:8" x14ac:dyDescent="0.25">
      <c r="A664" s="275">
        <v>220177</v>
      </c>
      <c r="B664" s="44" t="s">
        <v>2501</v>
      </c>
      <c r="C664" s="60" t="s">
        <v>350</v>
      </c>
      <c r="D664" s="56" t="s">
        <v>2610</v>
      </c>
      <c r="E664" s="56" t="s">
        <v>1136</v>
      </c>
      <c r="F664" s="68" t="s">
        <v>1828</v>
      </c>
      <c r="G664" s="60" t="s">
        <v>926</v>
      </c>
      <c r="H664" s="60">
        <v>2013</v>
      </c>
    </row>
    <row r="665" spans="1:8" x14ac:dyDescent="0.25">
      <c r="A665" s="261">
        <v>227643</v>
      </c>
      <c r="B665" s="41" t="s">
        <v>2501</v>
      </c>
      <c r="C665" s="50" t="s">
        <v>350</v>
      </c>
      <c r="D665" s="47" t="s">
        <v>2610</v>
      </c>
      <c r="E665" s="59" t="s">
        <v>1136</v>
      </c>
      <c r="F665" s="141" t="s">
        <v>1828</v>
      </c>
      <c r="G665" s="50" t="s">
        <v>1112</v>
      </c>
      <c r="H665" s="50">
        <v>2016</v>
      </c>
    </row>
    <row r="666" spans="1:8" x14ac:dyDescent="0.25">
      <c r="A666" s="261" t="s">
        <v>1417</v>
      </c>
      <c r="B666" s="41" t="s">
        <v>2501</v>
      </c>
      <c r="C666" s="50" t="s">
        <v>350</v>
      </c>
      <c r="D666" s="47" t="s">
        <v>2610</v>
      </c>
      <c r="E666" s="59" t="s">
        <v>1136</v>
      </c>
      <c r="F666" s="141" t="s">
        <v>1828</v>
      </c>
      <c r="G666" s="50" t="s">
        <v>24</v>
      </c>
      <c r="H666" s="50">
        <v>2023</v>
      </c>
    </row>
    <row r="667" spans="1:8" x14ac:dyDescent="0.25">
      <c r="A667" s="261" t="s">
        <v>1232</v>
      </c>
      <c r="B667" s="41" t="s">
        <v>2502</v>
      </c>
      <c r="C667" s="50" t="s">
        <v>1048</v>
      </c>
      <c r="D667" s="47" t="s">
        <v>2610</v>
      </c>
      <c r="E667" s="47" t="s">
        <v>1231</v>
      </c>
      <c r="F667" s="141" t="s">
        <v>1781</v>
      </c>
      <c r="G667" s="50" t="s">
        <v>24</v>
      </c>
      <c r="H667" s="50">
        <v>2022</v>
      </c>
    </row>
    <row r="668" spans="1:8" x14ac:dyDescent="0.25">
      <c r="A668" s="261" t="s">
        <v>1233</v>
      </c>
      <c r="B668" s="41" t="s">
        <v>2502</v>
      </c>
      <c r="C668" s="50" t="s">
        <v>1048</v>
      </c>
      <c r="D668" s="47" t="s">
        <v>2610</v>
      </c>
      <c r="E668" s="59" t="s">
        <v>1231</v>
      </c>
      <c r="F668" s="199" t="s">
        <v>1781</v>
      </c>
      <c r="G668" s="50" t="s">
        <v>260</v>
      </c>
      <c r="H668" s="50">
        <v>2022</v>
      </c>
    </row>
    <row r="669" spans="1:8" x14ac:dyDescent="0.25">
      <c r="A669" s="261">
        <v>233077</v>
      </c>
      <c r="B669" s="41" t="s">
        <v>1816</v>
      </c>
      <c r="C669" s="50" t="s">
        <v>1044</v>
      </c>
      <c r="D669" s="47" t="s">
        <v>2610</v>
      </c>
      <c r="E669" s="47"/>
      <c r="F669" s="55" t="s">
        <v>1780</v>
      </c>
      <c r="G669" s="50" t="s">
        <v>244</v>
      </c>
      <c r="H669" s="50">
        <v>2022</v>
      </c>
    </row>
    <row r="670" spans="1:8" x14ac:dyDescent="0.25">
      <c r="A670" s="261" t="s">
        <v>1966</v>
      </c>
      <c r="B670" s="47" t="s">
        <v>48</v>
      </c>
      <c r="C670" s="50" t="s">
        <v>372</v>
      </c>
      <c r="D670" s="47" t="s">
        <v>2610</v>
      </c>
      <c r="E670" s="47"/>
      <c r="F670" s="50" t="s">
        <v>1780</v>
      </c>
      <c r="G670" s="50" t="s">
        <v>926</v>
      </c>
      <c r="H670" s="50">
        <v>2014</v>
      </c>
    </row>
    <row r="671" spans="1:8" x14ac:dyDescent="0.25">
      <c r="A671" s="261" t="s">
        <v>1966</v>
      </c>
      <c r="B671" s="47" t="s">
        <v>49</v>
      </c>
      <c r="C671" s="50" t="s">
        <v>373</v>
      </c>
      <c r="D671" s="47" t="s">
        <v>2610</v>
      </c>
      <c r="E671" s="47"/>
      <c r="F671" s="50" t="s">
        <v>1745</v>
      </c>
      <c r="G671" s="50" t="s">
        <v>886</v>
      </c>
      <c r="H671" s="50">
        <v>2010</v>
      </c>
    </row>
    <row r="672" spans="1:8" x14ac:dyDescent="0.25">
      <c r="A672" s="281">
        <v>221615</v>
      </c>
      <c r="B672" s="191" t="s">
        <v>2503</v>
      </c>
      <c r="C672" s="147" t="s">
        <v>361</v>
      </c>
      <c r="D672" s="156" t="s">
        <v>2611</v>
      </c>
      <c r="E672" s="153"/>
      <c r="F672" s="50" t="s">
        <v>1732</v>
      </c>
      <c r="G672" s="50" t="s">
        <v>926</v>
      </c>
      <c r="H672" s="147">
        <v>2012</v>
      </c>
    </row>
    <row r="673" spans="1:8" x14ac:dyDescent="0.25">
      <c r="A673" s="261">
        <v>225338</v>
      </c>
      <c r="B673" s="47" t="s">
        <v>2504</v>
      </c>
      <c r="C673" s="50" t="s">
        <v>396</v>
      </c>
      <c r="D673" s="47" t="s">
        <v>2611</v>
      </c>
      <c r="E673" s="47" t="s">
        <v>1331</v>
      </c>
      <c r="F673" s="50" t="s">
        <v>1732</v>
      </c>
      <c r="G673" s="50" t="s">
        <v>926</v>
      </c>
      <c r="H673" s="50">
        <v>2015</v>
      </c>
    </row>
    <row r="674" spans="1:8" x14ac:dyDescent="0.25">
      <c r="A674" s="261">
        <v>226949</v>
      </c>
      <c r="B674" s="47" t="s">
        <v>2504</v>
      </c>
      <c r="C674" s="50" t="s">
        <v>396</v>
      </c>
      <c r="D674" s="47" t="s">
        <v>2611</v>
      </c>
      <c r="E674" s="47" t="s">
        <v>1331</v>
      </c>
      <c r="F674" s="50" t="s">
        <v>1732</v>
      </c>
      <c r="G674" s="50" t="s">
        <v>926</v>
      </c>
      <c r="H674" s="50">
        <v>2015</v>
      </c>
    </row>
    <row r="675" spans="1:8" x14ac:dyDescent="0.25">
      <c r="A675" s="261">
        <v>226950</v>
      </c>
      <c r="B675" s="47" t="s">
        <v>2504</v>
      </c>
      <c r="C675" s="50" t="s">
        <v>396</v>
      </c>
      <c r="D675" s="47" t="s">
        <v>2611</v>
      </c>
      <c r="E675" s="59" t="s">
        <v>1331</v>
      </c>
      <c r="F675" s="50" t="s">
        <v>1769</v>
      </c>
      <c r="G675" s="50" t="s">
        <v>926</v>
      </c>
      <c r="H675" s="50">
        <v>2015</v>
      </c>
    </row>
    <row r="676" spans="1:8" x14ac:dyDescent="0.25">
      <c r="A676" s="261">
        <v>230058</v>
      </c>
      <c r="B676" s="47" t="s">
        <v>2504</v>
      </c>
      <c r="C676" s="50" t="s">
        <v>396</v>
      </c>
      <c r="D676" s="47" t="s">
        <v>2611</v>
      </c>
      <c r="E676" s="59" t="s">
        <v>1331</v>
      </c>
      <c r="F676" s="50" t="s">
        <v>1769</v>
      </c>
      <c r="G676" s="50" t="s">
        <v>926</v>
      </c>
      <c r="H676" s="50">
        <v>2018</v>
      </c>
    </row>
    <row r="677" spans="1:8" x14ac:dyDescent="0.25">
      <c r="A677" s="261">
        <v>225860</v>
      </c>
      <c r="B677" s="47" t="s">
        <v>2505</v>
      </c>
      <c r="C677" s="50" t="s">
        <v>446</v>
      </c>
      <c r="D677" s="47" t="s">
        <v>2611</v>
      </c>
      <c r="E677" s="59" t="s">
        <v>1272</v>
      </c>
      <c r="F677" s="50" t="s">
        <v>1732</v>
      </c>
      <c r="G677" s="50" t="s">
        <v>886</v>
      </c>
      <c r="H677" s="50">
        <v>2015</v>
      </c>
    </row>
    <row r="678" spans="1:8" x14ac:dyDescent="0.25">
      <c r="A678" s="261">
        <v>227316</v>
      </c>
      <c r="B678" s="47" t="s">
        <v>2506</v>
      </c>
      <c r="C678" s="50" t="s">
        <v>494</v>
      </c>
      <c r="D678" s="47" t="s">
        <v>2611</v>
      </c>
      <c r="E678" s="59" t="s">
        <v>1396</v>
      </c>
      <c r="F678" s="50" t="s">
        <v>1725</v>
      </c>
      <c r="G678" s="50" t="s">
        <v>886</v>
      </c>
      <c r="H678" s="50">
        <v>2017</v>
      </c>
    </row>
    <row r="679" spans="1:8" x14ac:dyDescent="0.25">
      <c r="A679" s="261">
        <v>225631</v>
      </c>
      <c r="B679" s="47" t="s">
        <v>2507</v>
      </c>
      <c r="C679" s="50" t="s">
        <v>427</v>
      </c>
      <c r="D679" s="47" t="s">
        <v>2611</v>
      </c>
      <c r="E679" s="59"/>
      <c r="F679" s="50" t="s">
        <v>1732</v>
      </c>
      <c r="G679" s="50" t="s">
        <v>886</v>
      </c>
      <c r="H679" s="50">
        <v>2015</v>
      </c>
    </row>
    <row r="680" spans="1:8" x14ac:dyDescent="0.25">
      <c r="A680" s="261">
        <v>229562</v>
      </c>
      <c r="B680" s="47" t="s">
        <v>2507</v>
      </c>
      <c r="C680" s="50" t="s">
        <v>427</v>
      </c>
      <c r="D680" s="47" t="s">
        <v>2611</v>
      </c>
      <c r="E680" s="59"/>
      <c r="F680" s="50" t="s">
        <v>1732</v>
      </c>
      <c r="G680" s="50" t="s">
        <v>926</v>
      </c>
      <c r="H680" s="50">
        <v>2018</v>
      </c>
    </row>
    <row r="681" spans="1:8" x14ac:dyDescent="0.25">
      <c r="A681" s="261">
        <v>197293</v>
      </c>
      <c r="B681" s="47" t="s">
        <v>2508</v>
      </c>
      <c r="C681" s="50" t="s">
        <v>372</v>
      </c>
      <c r="D681" s="47" t="s">
        <v>2611</v>
      </c>
      <c r="E681" s="47"/>
      <c r="F681" s="50" t="s">
        <v>1780</v>
      </c>
      <c r="G681" s="50" t="s">
        <v>1398</v>
      </c>
      <c r="H681" s="50">
        <v>2011</v>
      </c>
    </row>
    <row r="682" spans="1:8" x14ac:dyDescent="0.25">
      <c r="A682" s="261">
        <v>205717</v>
      </c>
      <c r="B682" s="47" t="s">
        <v>2508</v>
      </c>
      <c r="C682" s="50" t="s">
        <v>372</v>
      </c>
      <c r="D682" s="47" t="s">
        <v>2611</v>
      </c>
      <c r="E682" s="59"/>
      <c r="F682" s="50" t="s">
        <v>1780</v>
      </c>
      <c r="G682" s="50" t="s">
        <v>1398</v>
      </c>
      <c r="H682" s="50">
        <v>2011</v>
      </c>
    </row>
    <row r="683" spans="1:8" x14ac:dyDescent="0.25">
      <c r="A683" s="281" t="s">
        <v>1966</v>
      </c>
      <c r="B683" s="41" t="s">
        <v>2508</v>
      </c>
      <c r="C683" s="42" t="s">
        <v>372</v>
      </c>
      <c r="D683" s="43" t="s">
        <v>2611</v>
      </c>
      <c r="E683" s="153"/>
      <c r="F683" s="200" t="s">
        <v>1780</v>
      </c>
      <c r="G683" s="138" t="s">
        <v>1398</v>
      </c>
      <c r="H683" s="147">
        <v>2011</v>
      </c>
    </row>
    <row r="684" spans="1:8" x14ac:dyDescent="0.25">
      <c r="A684" s="261" t="s">
        <v>1514</v>
      </c>
      <c r="B684" s="41" t="s">
        <v>2509</v>
      </c>
      <c r="C684" s="42" t="s">
        <v>1597</v>
      </c>
      <c r="D684" s="43" t="s">
        <v>2611</v>
      </c>
      <c r="E684" s="59" t="s">
        <v>1658</v>
      </c>
      <c r="F684" s="55" t="s">
        <v>1784</v>
      </c>
      <c r="G684" s="42" t="s">
        <v>260</v>
      </c>
      <c r="H684" s="50">
        <v>2023</v>
      </c>
    </row>
    <row r="685" spans="1:8" x14ac:dyDescent="0.25">
      <c r="A685" s="261" t="s">
        <v>1197</v>
      </c>
      <c r="B685" s="41" t="s">
        <v>2510</v>
      </c>
      <c r="C685" s="42" t="s">
        <v>1040</v>
      </c>
      <c r="D685" s="43" t="s">
        <v>2611</v>
      </c>
      <c r="E685" s="47" t="s">
        <v>1196</v>
      </c>
      <c r="F685" s="55" t="s">
        <v>1810</v>
      </c>
      <c r="G685" s="42" t="s">
        <v>24</v>
      </c>
      <c r="H685" s="50">
        <v>2022</v>
      </c>
    </row>
    <row r="686" spans="1:8" x14ac:dyDescent="0.25">
      <c r="A686" s="274">
        <v>235254</v>
      </c>
      <c r="B686" s="48" t="s">
        <v>2511</v>
      </c>
      <c r="C686" s="49" t="s">
        <v>564</v>
      </c>
      <c r="D686" s="170" t="s">
        <v>2611</v>
      </c>
      <c r="E686" s="179" t="s">
        <v>1317</v>
      </c>
      <c r="F686" s="141" t="s">
        <v>1780</v>
      </c>
      <c r="G686" s="49" t="s">
        <v>201</v>
      </c>
      <c r="H686" s="143">
        <v>2022</v>
      </c>
    </row>
    <row r="687" spans="1:8" x14ac:dyDescent="0.25">
      <c r="A687" s="257">
        <v>234890</v>
      </c>
      <c r="B687" s="41" t="s">
        <v>2512</v>
      </c>
      <c r="C687" s="42" t="s">
        <v>930</v>
      </c>
      <c r="D687" s="43" t="s">
        <v>2611</v>
      </c>
      <c r="E687" s="59" t="s">
        <v>1296</v>
      </c>
      <c r="F687" s="55" t="s">
        <v>1780</v>
      </c>
      <c r="G687" s="42" t="s">
        <v>201</v>
      </c>
      <c r="H687" s="42">
        <v>2022</v>
      </c>
    </row>
    <row r="688" spans="1:8" x14ac:dyDescent="0.25">
      <c r="A688" s="257" t="s">
        <v>178</v>
      </c>
      <c r="B688" s="41" t="s">
        <v>177</v>
      </c>
      <c r="C688" s="42" t="s">
        <v>514</v>
      </c>
      <c r="D688" s="43" t="s">
        <v>901</v>
      </c>
      <c r="E688" s="154" t="s">
        <v>1411</v>
      </c>
      <c r="F688" s="55" t="s">
        <v>1725</v>
      </c>
      <c r="G688" s="42" t="s">
        <v>24</v>
      </c>
      <c r="H688" s="42">
        <v>2020</v>
      </c>
    </row>
    <row r="689" spans="1:8" x14ac:dyDescent="0.25">
      <c r="A689" s="257" t="s">
        <v>308</v>
      </c>
      <c r="B689" s="41" t="s">
        <v>307</v>
      </c>
      <c r="C689" s="42" t="s">
        <v>566</v>
      </c>
      <c r="D689" s="43" t="s">
        <v>901</v>
      </c>
      <c r="E689" s="154"/>
      <c r="F689" s="55" t="s">
        <v>1725</v>
      </c>
      <c r="G689" s="42" t="s">
        <v>24</v>
      </c>
      <c r="H689" s="42">
        <v>2021</v>
      </c>
    </row>
    <row r="690" spans="1:8" x14ac:dyDescent="0.25">
      <c r="A690" s="257">
        <v>229760</v>
      </c>
      <c r="B690" s="41" t="s">
        <v>139</v>
      </c>
      <c r="C690" s="42" t="s">
        <v>474</v>
      </c>
      <c r="D690" s="43" t="s">
        <v>920</v>
      </c>
      <c r="E690" s="59" t="s">
        <v>1644</v>
      </c>
      <c r="F690" s="55" t="s">
        <v>1725</v>
      </c>
      <c r="G690" s="42" t="s">
        <v>926</v>
      </c>
      <c r="H690" s="42">
        <v>2017</v>
      </c>
    </row>
    <row r="691" spans="1:8" x14ac:dyDescent="0.25">
      <c r="A691" s="258" t="s">
        <v>1966</v>
      </c>
      <c r="B691" s="44" t="s">
        <v>35</v>
      </c>
      <c r="C691" s="45" t="s">
        <v>351</v>
      </c>
      <c r="D691" s="46" t="s">
        <v>920</v>
      </c>
      <c r="E691" s="56"/>
      <c r="F691" s="57" t="s">
        <v>1724</v>
      </c>
      <c r="G691" s="45" t="s">
        <v>1192</v>
      </c>
      <c r="H691" s="45">
        <v>2017</v>
      </c>
    </row>
    <row r="692" spans="1:8" x14ac:dyDescent="0.25">
      <c r="A692" s="275" t="s">
        <v>1966</v>
      </c>
      <c r="B692" s="44" t="s">
        <v>35</v>
      </c>
      <c r="C692" s="45" t="s">
        <v>351</v>
      </c>
      <c r="D692" s="46" t="s">
        <v>920</v>
      </c>
      <c r="E692" s="56"/>
      <c r="F692" s="57" t="s">
        <v>1724</v>
      </c>
      <c r="G692" s="45" t="s">
        <v>1192</v>
      </c>
      <c r="H692" s="45">
        <v>2017</v>
      </c>
    </row>
    <row r="693" spans="1:8" x14ac:dyDescent="0.25">
      <c r="A693" s="258" t="s">
        <v>319</v>
      </c>
      <c r="B693" s="44" t="s">
        <v>318</v>
      </c>
      <c r="C693" s="45" t="s">
        <v>572</v>
      </c>
      <c r="D693" s="46" t="s">
        <v>920</v>
      </c>
      <c r="E693" s="56" t="s">
        <v>1200</v>
      </c>
      <c r="F693" s="57" t="s">
        <v>1725</v>
      </c>
      <c r="G693" s="45" t="s">
        <v>24</v>
      </c>
      <c r="H693" s="45">
        <v>2021</v>
      </c>
    </row>
    <row r="694" spans="1:8" x14ac:dyDescent="0.25">
      <c r="A694" s="258">
        <v>228980</v>
      </c>
      <c r="B694" s="44" t="s">
        <v>160</v>
      </c>
      <c r="C694" s="45" t="s">
        <v>351</v>
      </c>
      <c r="D694" s="46" t="s">
        <v>920</v>
      </c>
      <c r="E694" s="56"/>
      <c r="F694" s="57" t="s">
        <v>1724</v>
      </c>
      <c r="G694" s="45" t="s">
        <v>1192</v>
      </c>
      <c r="H694" s="45">
        <v>2017</v>
      </c>
    </row>
    <row r="695" spans="1:8" x14ac:dyDescent="0.25">
      <c r="A695" s="258">
        <v>228981</v>
      </c>
      <c r="B695" s="44" t="s">
        <v>160</v>
      </c>
      <c r="C695" s="45" t="s">
        <v>351</v>
      </c>
      <c r="D695" s="46" t="s">
        <v>920</v>
      </c>
      <c r="E695" s="56"/>
      <c r="F695" s="57" t="s">
        <v>1724</v>
      </c>
      <c r="G695" s="45" t="s">
        <v>1192</v>
      </c>
      <c r="H695" s="45">
        <v>2017</v>
      </c>
    </row>
    <row r="696" spans="1:8" x14ac:dyDescent="0.25">
      <c r="A696" s="258">
        <v>228982</v>
      </c>
      <c r="B696" s="44" t="s">
        <v>160</v>
      </c>
      <c r="C696" s="45" t="s">
        <v>351</v>
      </c>
      <c r="D696" s="46" t="s">
        <v>920</v>
      </c>
      <c r="E696" s="56"/>
      <c r="F696" s="57" t="s">
        <v>1724</v>
      </c>
      <c r="G696" s="45" t="s">
        <v>1192</v>
      </c>
      <c r="H696" s="45">
        <v>2017</v>
      </c>
    </row>
    <row r="697" spans="1:8" x14ac:dyDescent="0.25">
      <c r="A697" s="258">
        <v>228983</v>
      </c>
      <c r="B697" s="44" t="s">
        <v>160</v>
      </c>
      <c r="C697" s="45" t="s">
        <v>351</v>
      </c>
      <c r="D697" s="46" t="s">
        <v>920</v>
      </c>
      <c r="E697" s="56"/>
      <c r="F697" s="57" t="s">
        <v>1724</v>
      </c>
      <c r="G697" s="45" t="s">
        <v>1192</v>
      </c>
      <c r="H697" s="45">
        <v>2017</v>
      </c>
    </row>
    <row r="698" spans="1:8" x14ac:dyDescent="0.25">
      <c r="A698" s="258">
        <v>228984</v>
      </c>
      <c r="B698" s="44" t="s">
        <v>160</v>
      </c>
      <c r="C698" s="45" t="s">
        <v>351</v>
      </c>
      <c r="D698" s="46" t="s">
        <v>920</v>
      </c>
      <c r="E698" s="56"/>
      <c r="F698" s="57" t="s">
        <v>1724</v>
      </c>
      <c r="G698" s="45" t="s">
        <v>1192</v>
      </c>
      <c r="H698" s="45">
        <v>2017</v>
      </c>
    </row>
    <row r="699" spans="1:8" x14ac:dyDescent="0.25">
      <c r="A699" s="258">
        <v>228985</v>
      </c>
      <c r="B699" s="44" t="s">
        <v>160</v>
      </c>
      <c r="C699" s="45" t="s">
        <v>351</v>
      </c>
      <c r="D699" s="46" t="s">
        <v>920</v>
      </c>
      <c r="E699" s="56"/>
      <c r="F699" s="57" t="s">
        <v>1724</v>
      </c>
      <c r="G699" s="45" t="s">
        <v>1192</v>
      </c>
      <c r="H699" s="45">
        <v>2017</v>
      </c>
    </row>
    <row r="700" spans="1:8" x14ac:dyDescent="0.25">
      <c r="A700" s="261" t="s">
        <v>1532</v>
      </c>
      <c r="B700" s="41" t="s">
        <v>2028</v>
      </c>
      <c r="C700" s="42" t="s">
        <v>1599</v>
      </c>
      <c r="D700" s="43" t="s">
        <v>2612</v>
      </c>
      <c r="E700" s="158" t="s">
        <v>1663</v>
      </c>
      <c r="F700" s="55" t="s">
        <v>1725</v>
      </c>
      <c r="G700" s="42" t="s">
        <v>24</v>
      </c>
      <c r="H700" s="42">
        <v>2023</v>
      </c>
    </row>
    <row r="701" spans="1:8" x14ac:dyDescent="0.25">
      <c r="A701" s="261" t="s">
        <v>1848</v>
      </c>
      <c r="B701" s="41" t="s">
        <v>1734</v>
      </c>
      <c r="C701" s="42" t="s">
        <v>1735</v>
      </c>
      <c r="D701" s="43" t="s">
        <v>904</v>
      </c>
      <c r="E701" s="154" t="s">
        <v>1738</v>
      </c>
      <c r="F701" s="55" t="s">
        <v>1725</v>
      </c>
      <c r="G701" s="50" t="s">
        <v>24</v>
      </c>
      <c r="H701" s="42">
        <v>2024</v>
      </c>
    </row>
    <row r="702" spans="1:8" x14ac:dyDescent="0.25">
      <c r="A702" s="261" t="s">
        <v>1482</v>
      </c>
      <c r="B702" s="41" t="s">
        <v>1436</v>
      </c>
      <c r="C702" s="42" t="s">
        <v>1586</v>
      </c>
      <c r="D702" s="43" t="s">
        <v>904</v>
      </c>
      <c r="E702" s="47" t="s">
        <v>1636</v>
      </c>
      <c r="F702" s="55" t="s">
        <v>1725</v>
      </c>
      <c r="G702" s="50" t="s">
        <v>260</v>
      </c>
      <c r="H702" s="42">
        <v>2023</v>
      </c>
    </row>
    <row r="703" spans="1:8" x14ac:dyDescent="0.25">
      <c r="A703" s="275" t="s">
        <v>1484</v>
      </c>
      <c r="B703" s="44" t="s">
        <v>1438</v>
      </c>
      <c r="C703" s="45" t="s">
        <v>1588</v>
      </c>
      <c r="D703" s="46" t="s">
        <v>904</v>
      </c>
      <c r="E703" s="56" t="s">
        <v>1638</v>
      </c>
      <c r="F703" s="57" t="s">
        <v>1725</v>
      </c>
      <c r="G703" s="60" t="s">
        <v>24</v>
      </c>
      <c r="H703" s="45">
        <v>2019</v>
      </c>
    </row>
    <row r="704" spans="1:8" x14ac:dyDescent="0.25">
      <c r="A704" s="281" t="s">
        <v>206</v>
      </c>
      <c r="B704" s="152" t="s">
        <v>205</v>
      </c>
      <c r="C704" s="138" t="s">
        <v>531</v>
      </c>
      <c r="D704" s="150" t="s">
        <v>904</v>
      </c>
      <c r="E704" s="153" t="s">
        <v>1362</v>
      </c>
      <c r="F704" s="140" t="s">
        <v>1725</v>
      </c>
      <c r="G704" s="147" t="s">
        <v>24</v>
      </c>
      <c r="H704" s="138">
        <v>2020</v>
      </c>
    </row>
    <row r="705" spans="1:8" x14ac:dyDescent="0.25">
      <c r="A705" s="261">
        <v>226155</v>
      </c>
      <c r="B705" s="41" t="s">
        <v>129</v>
      </c>
      <c r="C705" s="42" t="s">
        <v>465</v>
      </c>
      <c r="D705" s="43" t="s">
        <v>904</v>
      </c>
      <c r="E705" s="59" t="s">
        <v>1328</v>
      </c>
      <c r="F705" s="55" t="s">
        <v>1745</v>
      </c>
      <c r="G705" s="50" t="s">
        <v>1112</v>
      </c>
      <c r="H705" s="42">
        <v>2015</v>
      </c>
    </row>
    <row r="706" spans="1:8" x14ac:dyDescent="0.25">
      <c r="A706" s="261">
        <v>227291</v>
      </c>
      <c r="B706" s="41" t="s">
        <v>129</v>
      </c>
      <c r="C706" s="42" t="s">
        <v>465</v>
      </c>
      <c r="D706" s="43" t="s">
        <v>904</v>
      </c>
      <c r="E706" s="59" t="s">
        <v>1328</v>
      </c>
      <c r="F706" s="55" t="s">
        <v>1745</v>
      </c>
      <c r="G706" s="50" t="s">
        <v>1112</v>
      </c>
      <c r="H706" s="42">
        <v>2016</v>
      </c>
    </row>
    <row r="707" spans="1:8" x14ac:dyDescent="0.25">
      <c r="A707" s="261">
        <v>227644</v>
      </c>
      <c r="B707" s="41" t="s">
        <v>129</v>
      </c>
      <c r="C707" s="42" t="s">
        <v>465</v>
      </c>
      <c r="D707" s="43" t="s">
        <v>904</v>
      </c>
      <c r="E707" s="47" t="s">
        <v>1328</v>
      </c>
      <c r="F707" s="55" t="s">
        <v>1745</v>
      </c>
      <c r="G707" s="50" t="s">
        <v>1112</v>
      </c>
      <c r="H707" s="42">
        <v>2016</v>
      </c>
    </row>
    <row r="708" spans="1:8" x14ac:dyDescent="0.25">
      <c r="A708" s="261">
        <v>228008</v>
      </c>
      <c r="B708" s="41" t="s">
        <v>129</v>
      </c>
      <c r="C708" s="42" t="s">
        <v>465</v>
      </c>
      <c r="D708" s="43" t="s">
        <v>904</v>
      </c>
      <c r="E708" s="59" t="s">
        <v>1328</v>
      </c>
      <c r="F708" s="55" t="s">
        <v>1745</v>
      </c>
      <c r="G708" s="50" t="s">
        <v>1112</v>
      </c>
      <c r="H708" s="42">
        <v>2016</v>
      </c>
    </row>
    <row r="709" spans="1:8" x14ac:dyDescent="0.25">
      <c r="A709" s="261">
        <v>228047</v>
      </c>
      <c r="B709" s="41" t="s">
        <v>129</v>
      </c>
      <c r="C709" s="42" t="s">
        <v>465</v>
      </c>
      <c r="D709" s="43" t="s">
        <v>904</v>
      </c>
      <c r="E709" s="59" t="s">
        <v>1328</v>
      </c>
      <c r="F709" s="55" t="s">
        <v>1745</v>
      </c>
      <c r="G709" s="50" t="s">
        <v>1112</v>
      </c>
      <c r="H709" s="42">
        <v>2016</v>
      </c>
    </row>
    <row r="710" spans="1:8" x14ac:dyDescent="0.25">
      <c r="A710" s="261">
        <v>228562</v>
      </c>
      <c r="B710" s="41" t="s">
        <v>131</v>
      </c>
      <c r="C710" s="42" t="s">
        <v>467</v>
      </c>
      <c r="D710" s="43" t="s">
        <v>904</v>
      </c>
      <c r="E710" s="47"/>
      <c r="F710" s="55" t="s">
        <v>1745</v>
      </c>
      <c r="G710" s="50" t="s">
        <v>1113</v>
      </c>
      <c r="H710" s="42">
        <v>2016</v>
      </c>
    </row>
    <row r="711" spans="1:8" x14ac:dyDescent="0.25">
      <c r="A711" s="261">
        <v>231059</v>
      </c>
      <c r="B711" s="41" t="s">
        <v>130</v>
      </c>
      <c r="C711" s="42" t="s">
        <v>466</v>
      </c>
      <c r="D711" s="43" t="s">
        <v>904</v>
      </c>
      <c r="E711" s="47" t="s">
        <v>1334</v>
      </c>
      <c r="F711" s="55" t="s">
        <v>1725</v>
      </c>
      <c r="G711" s="50" t="s">
        <v>926</v>
      </c>
      <c r="H711" s="42">
        <v>2018</v>
      </c>
    </row>
    <row r="712" spans="1:8" x14ac:dyDescent="0.25">
      <c r="A712" s="261" t="s">
        <v>1504</v>
      </c>
      <c r="B712" s="41" t="s">
        <v>142</v>
      </c>
      <c r="C712" s="42" t="s">
        <v>477</v>
      </c>
      <c r="D712" s="43" t="s">
        <v>904</v>
      </c>
      <c r="E712" s="154" t="s">
        <v>1321</v>
      </c>
      <c r="F712" s="55" t="s">
        <v>1724</v>
      </c>
      <c r="G712" s="50" t="s">
        <v>37</v>
      </c>
      <c r="H712" s="42">
        <v>2019</v>
      </c>
    </row>
    <row r="713" spans="1:8" x14ac:dyDescent="0.25">
      <c r="A713" s="261" t="s">
        <v>1505</v>
      </c>
      <c r="B713" s="41" t="s">
        <v>142</v>
      </c>
      <c r="C713" s="42" t="s">
        <v>477</v>
      </c>
      <c r="D713" s="43" t="s">
        <v>904</v>
      </c>
      <c r="E713" s="47" t="s">
        <v>1321</v>
      </c>
      <c r="F713" s="55" t="s">
        <v>1724</v>
      </c>
      <c r="G713" s="50" t="s">
        <v>37</v>
      </c>
      <c r="H713" s="42">
        <v>2019</v>
      </c>
    </row>
    <row r="714" spans="1:8" x14ac:dyDescent="0.25">
      <c r="A714" s="257" t="s">
        <v>1506</v>
      </c>
      <c r="B714" s="41" t="s">
        <v>142</v>
      </c>
      <c r="C714" s="42" t="s">
        <v>477</v>
      </c>
      <c r="D714" s="43" t="s">
        <v>904</v>
      </c>
      <c r="E714" s="47" t="s">
        <v>1321</v>
      </c>
      <c r="F714" s="55" t="s">
        <v>1724</v>
      </c>
      <c r="G714" s="42" t="s">
        <v>24</v>
      </c>
      <c r="H714" s="42">
        <v>2019</v>
      </c>
    </row>
    <row r="715" spans="1:8" x14ac:dyDescent="0.25">
      <c r="A715" s="257" t="s">
        <v>1507</v>
      </c>
      <c r="B715" s="41" t="s">
        <v>142</v>
      </c>
      <c r="C715" s="42" t="s">
        <v>477</v>
      </c>
      <c r="D715" s="43" t="s">
        <v>904</v>
      </c>
      <c r="E715" s="59" t="s">
        <v>1321</v>
      </c>
      <c r="F715" s="55" t="s">
        <v>1724</v>
      </c>
      <c r="G715" s="42" t="s">
        <v>37</v>
      </c>
      <c r="H715" s="42">
        <v>2020</v>
      </c>
    </row>
    <row r="716" spans="1:8" x14ac:dyDescent="0.25">
      <c r="A716" s="257">
        <v>228137</v>
      </c>
      <c r="B716" s="41" t="s">
        <v>133</v>
      </c>
      <c r="C716" s="42" t="s">
        <v>469</v>
      </c>
      <c r="D716" s="43" t="s">
        <v>904</v>
      </c>
      <c r="E716" s="47"/>
      <c r="F716" s="55" t="s">
        <v>1775</v>
      </c>
      <c r="G716" s="42" t="s">
        <v>1192</v>
      </c>
      <c r="H716" s="42">
        <v>2016</v>
      </c>
    </row>
    <row r="717" spans="1:8" x14ac:dyDescent="0.25">
      <c r="A717" s="257">
        <v>228138</v>
      </c>
      <c r="B717" s="41" t="s">
        <v>133</v>
      </c>
      <c r="C717" s="42" t="s">
        <v>469</v>
      </c>
      <c r="D717" s="43" t="s">
        <v>904</v>
      </c>
      <c r="E717" s="59"/>
      <c r="F717" s="55" t="s">
        <v>1775</v>
      </c>
      <c r="G717" s="127" t="s">
        <v>1192</v>
      </c>
      <c r="H717" s="42">
        <v>2016</v>
      </c>
    </row>
    <row r="718" spans="1:8" x14ac:dyDescent="0.25">
      <c r="A718" s="261">
        <v>225608</v>
      </c>
      <c r="B718" s="41" t="s">
        <v>120</v>
      </c>
      <c r="C718" s="42" t="s">
        <v>457</v>
      </c>
      <c r="D718" s="43" t="s">
        <v>904</v>
      </c>
      <c r="E718" s="41" t="s">
        <v>1318</v>
      </c>
      <c r="F718" s="42" t="s">
        <v>1745</v>
      </c>
      <c r="G718" s="50" t="s">
        <v>926</v>
      </c>
      <c r="H718" s="42">
        <v>2016</v>
      </c>
    </row>
    <row r="719" spans="1:8" x14ac:dyDescent="0.25">
      <c r="A719" s="261" t="s">
        <v>1863</v>
      </c>
      <c r="B719" s="41" t="s">
        <v>120</v>
      </c>
      <c r="C719" s="42" t="s">
        <v>457</v>
      </c>
      <c r="D719" s="43" t="s">
        <v>904</v>
      </c>
      <c r="E719" s="158" t="s">
        <v>1318</v>
      </c>
      <c r="F719" s="42" t="s">
        <v>1745</v>
      </c>
      <c r="G719" s="50" t="s">
        <v>24</v>
      </c>
      <c r="H719" s="42">
        <v>2024</v>
      </c>
    </row>
    <row r="720" spans="1:8" x14ac:dyDescent="0.25">
      <c r="A720" s="261" t="s">
        <v>1513</v>
      </c>
      <c r="B720" s="41" t="s">
        <v>1069</v>
      </c>
      <c r="C720" s="42" t="s">
        <v>508</v>
      </c>
      <c r="D720" s="43" t="s">
        <v>904</v>
      </c>
      <c r="E720" s="41" t="s">
        <v>1656</v>
      </c>
      <c r="F720" s="42" t="s">
        <v>1725</v>
      </c>
      <c r="G720" s="50" t="s">
        <v>24</v>
      </c>
      <c r="H720" s="42">
        <v>2019</v>
      </c>
    </row>
    <row r="721" spans="1:8" x14ac:dyDescent="0.25">
      <c r="A721" s="261" t="s">
        <v>1929</v>
      </c>
      <c r="B721" s="41" t="s">
        <v>1940</v>
      </c>
      <c r="C721" s="42" t="s">
        <v>1943</v>
      </c>
      <c r="D721" s="43" t="s">
        <v>904</v>
      </c>
      <c r="E721" s="201"/>
      <c r="F721" s="42" t="s">
        <v>1725</v>
      </c>
      <c r="G721" s="69" t="s">
        <v>24</v>
      </c>
      <c r="H721" s="42">
        <v>2024</v>
      </c>
    </row>
    <row r="722" spans="1:8" x14ac:dyDescent="0.25">
      <c r="A722" s="261" t="s">
        <v>1527</v>
      </c>
      <c r="B722" s="41" t="s">
        <v>169</v>
      </c>
      <c r="C722" s="42" t="s">
        <v>499</v>
      </c>
      <c r="D722" s="43" t="s">
        <v>904</v>
      </c>
      <c r="E722" s="202" t="s">
        <v>1269</v>
      </c>
      <c r="F722" s="42" t="s">
        <v>1725</v>
      </c>
      <c r="G722" s="50" t="s">
        <v>24</v>
      </c>
      <c r="H722" s="42">
        <v>2019</v>
      </c>
    </row>
    <row r="723" spans="1:8" x14ac:dyDescent="0.25">
      <c r="A723" s="261" t="s">
        <v>1250</v>
      </c>
      <c r="B723" s="41" t="s">
        <v>1052</v>
      </c>
      <c r="C723" s="42" t="s">
        <v>1053</v>
      </c>
      <c r="D723" s="43" t="s">
        <v>904</v>
      </c>
      <c r="E723" s="41" t="s">
        <v>1249</v>
      </c>
      <c r="F723" s="42" t="s">
        <v>1725</v>
      </c>
      <c r="G723" s="50" t="s">
        <v>37</v>
      </c>
      <c r="H723" s="50">
        <v>2022</v>
      </c>
    </row>
    <row r="724" spans="1:8" x14ac:dyDescent="0.25">
      <c r="A724" s="261" t="s">
        <v>1251</v>
      </c>
      <c r="B724" s="41" t="s">
        <v>1052</v>
      </c>
      <c r="C724" s="42" t="s">
        <v>1053</v>
      </c>
      <c r="D724" s="43" t="s">
        <v>904</v>
      </c>
      <c r="E724" s="59" t="s">
        <v>1249</v>
      </c>
      <c r="F724" s="42" t="s">
        <v>1725</v>
      </c>
      <c r="G724" s="50" t="s">
        <v>37</v>
      </c>
      <c r="H724" s="50">
        <v>2022</v>
      </c>
    </row>
    <row r="725" spans="1:8" x14ac:dyDescent="0.25">
      <c r="A725" s="261" t="s">
        <v>1544</v>
      </c>
      <c r="B725" s="41" t="s">
        <v>171</v>
      </c>
      <c r="C725" s="42" t="s">
        <v>502</v>
      </c>
      <c r="D725" s="43" t="s">
        <v>904</v>
      </c>
      <c r="E725" s="158" t="s">
        <v>1244</v>
      </c>
      <c r="F725" s="42" t="s">
        <v>1725</v>
      </c>
      <c r="G725" s="50" t="s">
        <v>24</v>
      </c>
      <c r="H725" s="50">
        <v>2019</v>
      </c>
    </row>
    <row r="726" spans="1:8" x14ac:dyDescent="0.25">
      <c r="A726" s="261" t="s">
        <v>259</v>
      </c>
      <c r="B726" s="41" t="s">
        <v>1047</v>
      </c>
      <c r="C726" s="42" t="s">
        <v>550</v>
      </c>
      <c r="D726" s="43" t="s">
        <v>904</v>
      </c>
      <c r="E726" s="158" t="s">
        <v>1228</v>
      </c>
      <c r="F726" s="42" t="s">
        <v>1724</v>
      </c>
      <c r="G726" s="50" t="s">
        <v>24</v>
      </c>
      <c r="H726" s="50">
        <v>2021</v>
      </c>
    </row>
    <row r="727" spans="1:8" x14ac:dyDescent="0.25">
      <c r="A727" s="261" t="s">
        <v>261</v>
      </c>
      <c r="B727" s="41" t="s">
        <v>1047</v>
      </c>
      <c r="C727" s="42" t="s">
        <v>550</v>
      </c>
      <c r="D727" s="43" t="s">
        <v>904</v>
      </c>
      <c r="E727" s="41" t="s">
        <v>1228</v>
      </c>
      <c r="F727" s="42" t="s">
        <v>1724</v>
      </c>
      <c r="G727" s="50" t="s">
        <v>260</v>
      </c>
      <c r="H727" s="50">
        <v>2021</v>
      </c>
    </row>
    <row r="728" spans="1:8" x14ac:dyDescent="0.25">
      <c r="A728" s="275" t="s">
        <v>306</v>
      </c>
      <c r="B728" s="44" t="s">
        <v>82</v>
      </c>
      <c r="C728" s="45" t="s">
        <v>410</v>
      </c>
      <c r="D728" s="46" t="s">
        <v>904</v>
      </c>
      <c r="E728" s="44" t="s">
        <v>2562</v>
      </c>
      <c r="F728" s="45" t="s">
        <v>1725</v>
      </c>
      <c r="G728" s="60" t="s">
        <v>260</v>
      </c>
      <c r="H728" s="60">
        <v>2021</v>
      </c>
    </row>
    <row r="729" spans="1:8" x14ac:dyDescent="0.25">
      <c r="A729" s="261">
        <v>228145</v>
      </c>
      <c r="B729" s="41" t="s">
        <v>148</v>
      </c>
      <c r="C729" s="42" t="s">
        <v>483</v>
      </c>
      <c r="D729" s="43" t="s">
        <v>904</v>
      </c>
      <c r="E729" s="41"/>
      <c r="F729" s="55" t="s">
        <v>1745</v>
      </c>
      <c r="G729" s="50" t="s">
        <v>926</v>
      </c>
      <c r="H729" s="50">
        <v>2016</v>
      </c>
    </row>
    <row r="730" spans="1:8" x14ac:dyDescent="0.25">
      <c r="A730" s="261">
        <v>228439</v>
      </c>
      <c r="B730" s="41" t="s">
        <v>148</v>
      </c>
      <c r="C730" s="42" t="s">
        <v>483</v>
      </c>
      <c r="D730" s="43" t="s">
        <v>904</v>
      </c>
      <c r="E730" s="41"/>
      <c r="F730" s="55" t="s">
        <v>1745</v>
      </c>
      <c r="G730" s="50" t="s">
        <v>926</v>
      </c>
      <c r="H730" s="50">
        <v>2016</v>
      </c>
    </row>
    <row r="731" spans="1:8" x14ac:dyDescent="0.25">
      <c r="A731" s="261" t="s">
        <v>2400</v>
      </c>
      <c r="B731" s="41" t="s">
        <v>2513</v>
      </c>
      <c r="C731" s="42">
        <v>20610879943</v>
      </c>
      <c r="D731" s="43" t="s">
        <v>2613</v>
      </c>
      <c r="E731" s="202" t="s">
        <v>2563</v>
      </c>
      <c r="F731" s="55" t="s">
        <v>1724</v>
      </c>
      <c r="G731" s="50" t="s">
        <v>1680</v>
      </c>
      <c r="H731" s="50">
        <v>2025</v>
      </c>
    </row>
    <row r="732" spans="1:8" x14ac:dyDescent="0.25">
      <c r="A732" s="261" t="s">
        <v>1966</v>
      </c>
      <c r="B732" s="41" t="s">
        <v>2514</v>
      </c>
      <c r="C732" s="42" t="s">
        <v>322</v>
      </c>
      <c r="D732" s="43" t="s">
        <v>905</v>
      </c>
      <c r="E732" s="158"/>
      <c r="F732" s="55" t="s">
        <v>1732</v>
      </c>
      <c r="G732" s="50" t="s">
        <v>926</v>
      </c>
      <c r="H732" s="50">
        <v>2011</v>
      </c>
    </row>
    <row r="733" spans="1:8" x14ac:dyDescent="0.25">
      <c r="A733" s="261" t="s">
        <v>1966</v>
      </c>
      <c r="B733" s="41" t="s">
        <v>2515</v>
      </c>
      <c r="C733" s="42" t="s">
        <v>322</v>
      </c>
      <c r="D733" s="43" t="s">
        <v>905</v>
      </c>
      <c r="E733" s="202"/>
      <c r="F733" s="55" t="s">
        <v>1732</v>
      </c>
      <c r="G733" s="50" t="s">
        <v>926</v>
      </c>
      <c r="H733" s="50">
        <v>2011</v>
      </c>
    </row>
    <row r="734" spans="1:8" x14ac:dyDescent="0.25">
      <c r="A734" s="261" t="s">
        <v>1966</v>
      </c>
      <c r="B734" s="41" t="s">
        <v>2515</v>
      </c>
      <c r="C734" s="42" t="s">
        <v>322</v>
      </c>
      <c r="D734" s="43" t="s">
        <v>905</v>
      </c>
      <c r="E734" s="41"/>
      <c r="F734" s="55" t="s">
        <v>1732</v>
      </c>
      <c r="G734" s="50" t="s">
        <v>926</v>
      </c>
      <c r="H734" s="50">
        <v>2011</v>
      </c>
    </row>
    <row r="735" spans="1:8" x14ac:dyDescent="0.25">
      <c r="A735" s="261">
        <v>228533</v>
      </c>
      <c r="B735" s="41" t="s">
        <v>2516</v>
      </c>
      <c r="C735" s="42" t="s">
        <v>322</v>
      </c>
      <c r="D735" s="43" t="s">
        <v>905</v>
      </c>
      <c r="E735" s="41"/>
      <c r="F735" s="55" t="s">
        <v>1732</v>
      </c>
      <c r="G735" s="50" t="s">
        <v>926</v>
      </c>
      <c r="H735" s="50">
        <v>2016</v>
      </c>
    </row>
    <row r="736" spans="1:8" x14ac:dyDescent="0.25">
      <c r="A736" s="261">
        <v>228534</v>
      </c>
      <c r="B736" s="41" t="s">
        <v>2516</v>
      </c>
      <c r="C736" s="42" t="s">
        <v>322</v>
      </c>
      <c r="D736" s="43" t="s">
        <v>905</v>
      </c>
      <c r="E736" s="158"/>
      <c r="F736" s="55" t="s">
        <v>1732</v>
      </c>
      <c r="G736" s="50" t="s">
        <v>926</v>
      </c>
      <c r="H736" s="50">
        <v>2016</v>
      </c>
    </row>
    <row r="737" spans="1:8" x14ac:dyDescent="0.25">
      <c r="A737" s="275" t="s">
        <v>1966</v>
      </c>
      <c r="B737" s="44" t="s">
        <v>2516</v>
      </c>
      <c r="C737" s="45" t="s">
        <v>322</v>
      </c>
      <c r="D737" s="46" t="s">
        <v>905</v>
      </c>
      <c r="E737" s="44"/>
      <c r="F737" s="57" t="s">
        <v>1732</v>
      </c>
      <c r="G737" s="60" t="s">
        <v>926</v>
      </c>
      <c r="H737" s="60">
        <v>2011</v>
      </c>
    </row>
    <row r="738" spans="1:8" x14ac:dyDescent="0.25">
      <c r="A738" s="286" t="s">
        <v>1966</v>
      </c>
      <c r="B738" s="51" t="s">
        <v>2516</v>
      </c>
      <c r="C738" s="203" t="s">
        <v>322</v>
      </c>
      <c r="D738" s="204" t="s">
        <v>905</v>
      </c>
      <c r="E738" s="51"/>
      <c r="F738" s="68" t="s">
        <v>1732</v>
      </c>
      <c r="G738" s="67" t="s">
        <v>926</v>
      </c>
      <c r="H738" s="67">
        <v>2013</v>
      </c>
    </row>
    <row r="739" spans="1:8" x14ac:dyDescent="0.25">
      <c r="A739" s="281" t="s">
        <v>1966</v>
      </c>
      <c r="B739" s="152" t="s">
        <v>2516</v>
      </c>
      <c r="C739" s="138" t="s">
        <v>322</v>
      </c>
      <c r="D739" s="150" t="s">
        <v>905</v>
      </c>
      <c r="E739" s="153"/>
      <c r="F739" s="140" t="s">
        <v>1732</v>
      </c>
      <c r="G739" s="138" t="s">
        <v>926</v>
      </c>
      <c r="H739" s="147">
        <v>2011</v>
      </c>
    </row>
    <row r="740" spans="1:8" x14ac:dyDescent="0.25">
      <c r="A740" s="261">
        <v>220167</v>
      </c>
      <c r="B740" s="47" t="s">
        <v>2517</v>
      </c>
      <c r="C740" s="50" t="s">
        <v>322</v>
      </c>
      <c r="D740" s="47" t="s">
        <v>905</v>
      </c>
      <c r="E740" s="47"/>
      <c r="F740" s="50" t="s">
        <v>1732</v>
      </c>
      <c r="G740" s="50" t="s">
        <v>926</v>
      </c>
      <c r="H740" s="50">
        <v>2011</v>
      </c>
    </row>
    <row r="741" spans="1:8" x14ac:dyDescent="0.25">
      <c r="A741" s="261">
        <v>220307</v>
      </c>
      <c r="B741" s="47" t="s">
        <v>2517</v>
      </c>
      <c r="C741" s="144" t="s">
        <v>322</v>
      </c>
      <c r="D741" s="181" t="s">
        <v>905</v>
      </c>
      <c r="E741" s="193"/>
      <c r="F741" s="148" t="s">
        <v>1732</v>
      </c>
      <c r="G741" s="148" t="s">
        <v>926</v>
      </c>
      <c r="H741" s="50">
        <v>2011</v>
      </c>
    </row>
    <row r="742" spans="1:8" x14ac:dyDescent="0.25">
      <c r="A742" s="261">
        <v>229284</v>
      </c>
      <c r="B742" s="47" t="s">
        <v>2518</v>
      </c>
      <c r="C742" s="50" t="s">
        <v>321</v>
      </c>
      <c r="D742" s="47" t="s">
        <v>905</v>
      </c>
      <c r="E742" s="47"/>
      <c r="F742" s="50" t="s">
        <v>1732</v>
      </c>
      <c r="G742" s="50" t="s">
        <v>926</v>
      </c>
      <c r="H742" s="50">
        <v>2017</v>
      </c>
    </row>
    <row r="743" spans="1:8" x14ac:dyDescent="0.25">
      <c r="A743" s="261">
        <v>215538</v>
      </c>
      <c r="B743" s="47" t="s">
        <v>2519</v>
      </c>
      <c r="C743" s="50" t="s">
        <v>328</v>
      </c>
      <c r="D743" s="47" t="s">
        <v>905</v>
      </c>
      <c r="E743" s="47"/>
      <c r="F743" s="50" t="s">
        <v>1732</v>
      </c>
      <c r="G743" s="50" t="s">
        <v>926</v>
      </c>
      <c r="H743" s="50">
        <v>2009</v>
      </c>
    </row>
    <row r="744" spans="1:8" x14ac:dyDescent="0.25">
      <c r="A744" s="261">
        <v>215011</v>
      </c>
      <c r="B744" s="47" t="s">
        <v>21</v>
      </c>
      <c r="C744" s="50" t="s">
        <v>329</v>
      </c>
      <c r="D744" s="47" t="s">
        <v>905</v>
      </c>
      <c r="E744" s="47"/>
      <c r="F744" s="50" t="s">
        <v>1732</v>
      </c>
      <c r="G744" s="50" t="s">
        <v>926</v>
      </c>
      <c r="H744" s="50">
        <v>2009</v>
      </c>
    </row>
    <row r="745" spans="1:8" x14ac:dyDescent="0.25">
      <c r="A745" s="261">
        <v>221723</v>
      </c>
      <c r="B745" s="47" t="s">
        <v>2520</v>
      </c>
      <c r="C745" s="50" t="s">
        <v>338</v>
      </c>
      <c r="D745" s="47" t="s">
        <v>922</v>
      </c>
      <c r="E745" s="154"/>
      <c r="F745" s="50" t="s">
        <v>1732</v>
      </c>
      <c r="G745" s="50" t="s">
        <v>926</v>
      </c>
      <c r="H745" s="50">
        <v>2012</v>
      </c>
    </row>
    <row r="746" spans="1:8" x14ac:dyDescent="0.25">
      <c r="A746" s="261">
        <v>221730</v>
      </c>
      <c r="B746" s="47" t="s">
        <v>2520</v>
      </c>
      <c r="C746" s="50" t="s">
        <v>338</v>
      </c>
      <c r="D746" s="47" t="s">
        <v>922</v>
      </c>
      <c r="E746" s="154"/>
      <c r="F746" s="50" t="s">
        <v>1732</v>
      </c>
      <c r="G746" s="50" t="s">
        <v>926</v>
      </c>
      <c r="H746" s="50">
        <v>2012</v>
      </c>
    </row>
    <row r="747" spans="1:8" x14ac:dyDescent="0.25">
      <c r="A747" s="261">
        <v>221731</v>
      </c>
      <c r="B747" s="47" t="s">
        <v>2520</v>
      </c>
      <c r="C747" s="50" t="s">
        <v>338</v>
      </c>
      <c r="D747" s="47" t="s">
        <v>922</v>
      </c>
      <c r="E747" s="154"/>
      <c r="F747" s="50" t="s">
        <v>1732</v>
      </c>
      <c r="G747" s="146" t="s">
        <v>926</v>
      </c>
      <c r="H747" s="50">
        <v>2012</v>
      </c>
    </row>
    <row r="748" spans="1:8" x14ac:dyDescent="0.25">
      <c r="A748" s="261">
        <v>221733</v>
      </c>
      <c r="B748" s="47" t="s">
        <v>2521</v>
      </c>
      <c r="C748" s="50" t="s">
        <v>332</v>
      </c>
      <c r="D748" s="47" t="s">
        <v>922</v>
      </c>
      <c r="E748" s="47" t="s">
        <v>2564</v>
      </c>
      <c r="F748" s="50" t="s">
        <v>1732</v>
      </c>
      <c r="G748" s="146" t="s">
        <v>926</v>
      </c>
      <c r="H748" s="50">
        <v>2012</v>
      </c>
    </row>
    <row r="749" spans="1:8" x14ac:dyDescent="0.25">
      <c r="A749" s="260">
        <v>222896</v>
      </c>
      <c r="B749" s="48" t="s">
        <v>2521</v>
      </c>
      <c r="C749" s="49" t="s">
        <v>332</v>
      </c>
      <c r="D749" s="170" t="s">
        <v>922</v>
      </c>
      <c r="E749" s="179" t="s">
        <v>2564</v>
      </c>
      <c r="F749" s="141" t="s">
        <v>1732</v>
      </c>
      <c r="G749" s="49" t="s">
        <v>926</v>
      </c>
      <c r="H749" s="49">
        <v>2013</v>
      </c>
    </row>
    <row r="750" spans="1:8" x14ac:dyDescent="0.25">
      <c r="A750" s="261">
        <v>212295</v>
      </c>
      <c r="B750" s="47" t="s">
        <v>2522</v>
      </c>
      <c r="C750" s="50" t="s">
        <v>332</v>
      </c>
      <c r="D750" s="47" t="s">
        <v>922</v>
      </c>
      <c r="E750" s="47" t="s">
        <v>2564</v>
      </c>
      <c r="F750" s="50" t="s">
        <v>1732</v>
      </c>
      <c r="G750" s="50" t="s">
        <v>926</v>
      </c>
      <c r="H750" s="50">
        <v>2013</v>
      </c>
    </row>
    <row r="751" spans="1:8" x14ac:dyDescent="0.25">
      <c r="A751" s="261">
        <v>215533</v>
      </c>
      <c r="B751" s="47" t="s">
        <v>2523</v>
      </c>
      <c r="C751" s="50" t="s">
        <v>340</v>
      </c>
      <c r="D751" s="47" t="s">
        <v>922</v>
      </c>
      <c r="E751" s="47"/>
      <c r="F751" s="50" t="s">
        <v>1732</v>
      </c>
      <c r="G751" s="50" t="s">
        <v>926</v>
      </c>
      <c r="H751" s="50">
        <v>2009</v>
      </c>
    </row>
    <row r="752" spans="1:8" x14ac:dyDescent="0.25">
      <c r="A752" s="274" t="s">
        <v>1966</v>
      </c>
      <c r="B752" s="179" t="s">
        <v>32</v>
      </c>
      <c r="C752" s="143" t="s">
        <v>348</v>
      </c>
      <c r="D752" s="179" t="s">
        <v>922</v>
      </c>
      <c r="E752" s="179"/>
      <c r="F752" s="143" t="s">
        <v>1732</v>
      </c>
      <c r="G752" s="143" t="s">
        <v>1152</v>
      </c>
      <c r="H752" s="143">
        <v>2013</v>
      </c>
    </row>
    <row r="753" spans="1:8" x14ac:dyDescent="0.25">
      <c r="A753" s="274">
        <v>221616</v>
      </c>
      <c r="B753" s="47" t="s">
        <v>30</v>
      </c>
      <c r="C753" s="50" t="s">
        <v>345</v>
      </c>
      <c r="D753" s="47" t="s">
        <v>922</v>
      </c>
      <c r="E753" s="186"/>
      <c r="F753" s="143" t="s">
        <v>1732</v>
      </c>
      <c r="G753" s="143" t="s">
        <v>926</v>
      </c>
      <c r="H753" s="143">
        <v>2016</v>
      </c>
    </row>
    <row r="754" spans="1:8" x14ac:dyDescent="0.25">
      <c r="A754" s="261">
        <v>227136</v>
      </c>
      <c r="B754" s="47" t="s">
        <v>30</v>
      </c>
      <c r="C754" s="50" t="s">
        <v>345</v>
      </c>
      <c r="D754" s="47" t="s">
        <v>922</v>
      </c>
      <c r="E754" s="59"/>
      <c r="F754" s="50" t="s">
        <v>1732</v>
      </c>
      <c r="G754" s="50" t="s">
        <v>1112</v>
      </c>
      <c r="H754" s="50">
        <v>2015</v>
      </c>
    </row>
    <row r="755" spans="1:8" x14ac:dyDescent="0.25">
      <c r="A755" s="261">
        <v>220301</v>
      </c>
      <c r="B755" s="41" t="s">
        <v>2524</v>
      </c>
      <c r="C755" s="42" t="s">
        <v>346</v>
      </c>
      <c r="D755" s="43" t="s">
        <v>922</v>
      </c>
      <c r="E755" s="47"/>
      <c r="F755" s="55" t="s">
        <v>1732</v>
      </c>
      <c r="G755" s="142" t="s">
        <v>926</v>
      </c>
      <c r="H755" s="50">
        <v>2017</v>
      </c>
    </row>
    <row r="756" spans="1:8" x14ac:dyDescent="0.25">
      <c r="A756" s="260">
        <v>231415</v>
      </c>
      <c r="B756" s="48" t="s">
        <v>31</v>
      </c>
      <c r="C756" s="49" t="s">
        <v>347</v>
      </c>
      <c r="D756" s="170" t="s">
        <v>922</v>
      </c>
      <c r="E756" s="179"/>
      <c r="F756" s="141" t="s">
        <v>1732</v>
      </c>
      <c r="G756" s="49" t="s">
        <v>926</v>
      </c>
      <c r="H756" s="49">
        <v>2018</v>
      </c>
    </row>
    <row r="757" spans="1:8" x14ac:dyDescent="0.25">
      <c r="A757" s="260" t="s">
        <v>1355</v>
      </c>
      <c r="B757" s="48" t="s">
        <v>1085</v>
      </c>
      <c r="C757" s="49" t="s">
        <v>1086</v>
      </c>
      <c r="D757" s="170" t="s">
        <v>2614</v>
      </c>
      <c r="E757" s="205" t="s">
        <v>1354</v>
      </c>
      <c r="F757" s="141" t="s">
        <v>1725</v>
      </c>
      <c r="G757" s="49" t="s">
        <v>24</v>
      </c>
      <c r="H757" s="49">
        <v>2022</v>
      </c>
    </row>
    <row r="758" spans="1:8" x14ac:dyDescent="0.25">
      <c r="A758" s="260" t="s">
        <v>111</v>
      </c>
      <c r="B758" s="48" t="s">
        <v>110</v>
      </c>
      <c r="C758" s="49" t="s">
        <v>445</v>
      </c>
      <c r="D758" s="170" t="s">
        <v>2615</v>
      </c>
      <c r="E758" s="179" t="s">
        <v>1278</v>
      </c>
      <c r="F758" s="141" t="s">
        <v>1745</v>
      </c>
      <c r="G758" s="49" t="s">
        <v>1279</v>
      </c>
      <c r="H758" s="49">
        <v>2018</v>
      </c>
    </row>
    <row r="759" spans="1:8" x14ac:dyDescent="0.25">
      <c r="A759" s="260" t="s">
        <v>2401</v>
      </c>
      <c r="B759" s="48" t="s">
        <v>268</v>
      </c>
      <c r="C759" s="49" t="s">
        <v>553</v>
      </c>
      <c r="D759" s="170" t="s">
        <v>1609</v>
      </c>
      <c r="E759" s="171" t="s">
        <v>2556</v>
      </c>
      <c r="F759" s="141" t="s">
        <v>1725</v>
      </c>
      <c r="G759" s="49" t="s">
        <v>1973</v>
      </c>
      <c r="H759" s="49">
        <v>2025</v>
      </c>
    </row>
    <row r="760" spans="1:8" x14ac:dyDescent="0.25">
      <c r="A760" s="281" t="s">
        <v>2402</v>
      </c>
      <c r="B760" s="47" t="s">
        <v>268</v>
      </c>
      <c r="C760" s="50" t="s">
        <v>553</v>
      </c>
      <c r="D760" s="47" t="s">
        <v>1609</v>
      </c>
      <c r="E760" s="59" t="s">
        <v>2556</v>
      </c>
      <c r="F760" s="50" t="s">
        <v>1725</v>
      </c>
      <c r="G760" s="50" t="s">
        <v>1680</v>
      </c>
      <c r="H760" s="147">
        <v>2025</v>
      </c>
    </row>
  </sheetData>
  <autoFilter ref="A1:H760" xr:uid="{871BF30F-7BCF-4A5C-80DC-A595CE6A3996}"/>
  <phoneticPr fontId="12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51295-D0E5-4ED6-A98F-14ECEFB993C7}">
  <dimension ref="A1:G18"/>
  <sheetViews>
    <sheetView showGridLines="0" workbookViewId="0">
      <selection activeCell="A7" sqref="A7"/>
    </sheetView>
  </sheetViews>
  <sheetFormatPr baseColWidth="10" defaultColWidth="10.7109375" defaultRowHeight="15" x14ac:dyDescent="0.25"/>
  <cols>
    <col min="1" max="1" width="25.85546875" bestFit="1" customWidth="1"/>
    <col min="2" max="2" width="3.28515625" customWidth="1"/>
    <col min="4" max="4" width="3" customWidth="1"/>
    <col min="6" max="6" width="4.28515625" customWidth="1"/>
    <col min="7" max="7" width="17.28515625" bestFit="1" customWidth="1"/>
  </cols>
  <sheetData>
    <row r="1" spans="1:7" ht="15.75" thickBot="1" x14ac:dyDescent="0.3">
      <c r="A1" s="72" t="s">
        <v>9</v>
      </c>
      <c r="B1" s="73"/>
      <c r="C1" s="72" t="s">
        <v>11</v>
      </c>
      <c r="D1" s="73"/>
      <c r="E1" s="72" t="s">
        <v>14</v>
      </c>
      <c r="F1" s="73"/>
      <c r="G1" s="72" t="s">
        <v>887</v>
      </c>
    </row>
    <row r="2" spans="1:7" x14ac:dyDescent="0.25">
      <c r="A2" s="73" t="s">
        <v>1896</v>
      </c>
      <c r="B2" s="73"/>
      <c r="C2" s="73" t="s">
        <v>573</v>
      </c>
      <c r="D2" s="73"/>
      <c r="E2" s="73" t="s">
        <v>2001</v>
      </c>
      <c r="F2" s="73"/>
      <c r="G2" s="73" t="s">
        <v>745</v>
      </c>
    </row>
    <row r="3" spans="1:7" x14ac:dyDescent="0.25">
      <c r="A3" s="73" t="s">
        <v>1687</v>
      </c>
      <c r="B3" s="73"/>
      <c r="C3" s="73" t="s">
        <v>16</v>
      </c>
      <c r="D3" s="73"/>
      <c r="E3" s="73" t="s">
        <v>1688</v>
      </c>
      <c r="F3" s="73"/>
      <c r="G3" s="73" t="s">
        <v>1689</v>
      </c>
    </row>
    <row r="4" spans="1:7" x14ac:dyDescent="0.25">
      <c r="A4" s="73" t="s">
        <v>1425</v>
      </c>
      <c r="B4" s="73"/>
      <c r="C4" s="73"/>
      <c r="D4" s="73"/>
      <c r="E4" s="73" t="s">
        <v>2008</v>
      </c>
      <c r="F4" s="73"/>
      <c r="G4" s="73" t="s">
        <v>888</v>
      </c>
    </row>
    <row r="5" spans="1:7" x14ac:dyDescent="0.25">
      <c r="A5" s="73" t="s">
        <v>2</v>
      </c>
      <c r="B5" s="73"/>
      <c r="C5" s="73"/>
      <c r="D5" s="73"/>
      <c r="E5" s="73" t="s">
        <v>24</v>
      </c>
      <c r="F5" s="73"/>
      <c r="G5" s="73" t="s">
        <v>2002</v>
      </c>
    </row>
    <row r="6" spans="1:7" x14ac:dyDescent="0.25">
      <c r="A6" s="73" t="s">
        <v>1918</v>
      </c>
      <c r="B6" s="73"/>
      <c r="C6" s="73"/>
      <c r="D6" s="73"/>
      <c r="E6" s="73" t="s">
        <v>2007</v>
      </c>
      <c r="F6" s="73"/>
      <c r="G6" s="73" t="s">
        <v>1959</v>
      </c>
    </row>
    <row r="7" spans="1:7" x14ac:dyDescent="0.25">
      <c r="A7" s="73" t="s">
        <v>1919</v>
      </c>
      <c r="B7" s="73"/>
      <c r="C7" s="73"/>
      <c r="D7" s="73"/>
      <c r="E7" s="73" t="s">
        <v>37</v>
      </c>
      <c r="F7" s="73"/>
      <c r="G7" s="73" t="s">
        <v>1899</v>
      </c>
    </row>
    <row r="8" spans="1:7" x14ac:dyDescent="0.25">
      <c r="A8" s="73"/>
      <c r="B8" s="73"/>
      <c r="C8" s="73"/>
      <c r="D8" s="73"/>
      <c r="E8" s="73" t="s">
        <v>2006</v>
      </c>
      <c r="F8" s="73"/>
      <c r="G8" s="73" t="s">
        <v>1900</v>
      </c>
    </row>
    <row r="9" spans="1:7" x14ac:dyDescent="0.25">
      <c r="A9" s="73"/>
      <c r="B9" s="73"/>
      <c r="C9" s="73"/>
      <c r="D9" s="73"/>
      <c r="E9" s="73" t="s">
        <v>25</v>
      </c>
      <c r="F9" s="73"/>
      <c r="G9" s="73" t="s">
        <v>1901</v>
      </c>
    </row>
    <row r="10" spans="1:7" x14ac:dyDescent="0.25">
      <c r="A10" s="73"/>
      <c r="B10" s="73"/>
      <c r="C10" s="73"/>
      <c r="D10" s="73"/>
      <c r="E10" s="73" t="s">
        <v>260</v>
      </c>
      <c r="F10" s="73"/>
      <c r="G10" s="73" t="s">
        <v>1902</v>
      </c>
    </row>
    <row r="11" spans="1:7" x14ac:dyDescent="0.25">
      <c r="A11" s="73"/>
      <c r="B11" s="73"/>
      <c r="C11" s="73"/>
      <c r="D11" s="73"/>
      <c r="E11" s="73" t="s">
        <v>102</v>
      </c>
      <c r="F11" s="73"/>
      <c r="G11" s="73"/>
    </row>
    <row r="12" spans="1:7" x14ac:dyDescent="0.25">
      <c r="A12" s="73"/>
      <c r="B12" s="73"/>
      <c r="C12" s="73"/>
      <c r="D12" s="73"/>
      <c r="E12" s="73" t="s">
        <v>182</v>
      </c>
      <c r="F12" s="73"/>
      <c r="G12" s="73"/>
    </row>
    <row r="13" spans="1:7" x14ac:dyDescent="0.25">
      <c r="A13" s="73"/>
      <c r="B13" s="73"/>
      <c r="C13" s="73"/>
      <c r="D13" s="73"/>
      <c r="E13" s="73" t="s">
        <v>1709</v>
      </c>
      <c r="F13" s="73"/>
      <c r="G13" s="73"/>
    </row>
    <row r="14" spans="1:7" x14ac:dyDescent="0.25">
      <c r="E14" s="73" t="s">
        <v>2009</v>
      </c>
      <c r="G14" s="73"/>
    </row>
    <row r="15" spans="1:7" x14ac:dyDescent="0.25">
      <c r="E15" s="73" t="s">
        <v>885</v>
      </c>
      <c r="G15" s="73"/>
    </row>
    <row r="16" spans="1:7" x14ac:dyDescent="0.25">
      <c r="E16" s="73" t="s">
        <v>2010</v>
      </c>
    </row>
    <row r="17" spans="5:5" x14ac:dyDescent="0.25">
      <c r="E17" t="s">
        <v>1998</v>
      </c>
    </row>
    <row r="18" spans="5:5" x14ac:dyDescent="0.25">
      <c r="E18" t="s">
        <v>1999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B72D6-B62F-4B15-9914-13FE8978AA29}">
  <dimension ref="A1:A3"/>
  <sheetViews>
    <sheetView workbookViewId="0">
      <selection activeCell="C3" sqref="C3"/>
    </sheetView>
  </sheetViews>
  <sheetFormatPr baseColWidth="10" defaultRowHeight="15" x14ac:dyDescent="0.25"/>
  <sheetData>
    <row r="1" spans="1:1" x14ac:dyDescent="0.25">
      <c r="A1" t="s">
        <v>1898</v>
      </c>
    </row>
    <row r="2" spans="1:1" x14ac:dyDescent="0.25">
      <c r="A2" t="s">
        <v>1897</v>
      </c>
    </row>
    <row r="3" spans="1:1" x14ac:dyDescent="0.25">
      <c r="A3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1</vt:i4>
      </vt:variant>
    </vt:vector>
  </HeadingPairs>
  <TitlesOfParts>
    <vt:vector size="7" baseType="lpstr">
      <vt:lpstr>IT</vt:lpstr>
      <vt:lpstr>Piezas y Partes</vt:lpstr>
      <vt:lpstr>Servicios</vt:lpstr>
      <vt:lpstr>Clientes</vt:lpstr>
      <vt:lpstr>Lista Servicio</vt:lpstr>
      <vt:lpstr>Si-No</vt:lpstr>
      <vt:lpstr>IT!Área_de_impresión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Bello Pardo</dc:creator>
  <cp:lastModifiedBy>Fabian  Veliz</cp:lastModifiedBy>
  <cp:lastPrinted>2025-06-30T13:28:46Z</cp:lastPrinted>
  <dcterms:created xsi:type="dcterms:W3CDTF">2022-03-23T20:08:27Z</dcterms:created>
  <dcterms:modified xsi:type="dcterms:W3CDTF">2025-12-23T19:55:19Z</dcterms:modified>
</cp:coreProperties>
</file>